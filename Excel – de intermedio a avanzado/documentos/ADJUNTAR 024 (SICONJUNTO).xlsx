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chi\Downloads\"/>
    </mc:Choice>
  </mc:AlternateContent>
  <xr:revisionPtr revIDLastSave="0" documentId="13_ncr:1_{7B672113-4E77-4686-B3EE-1B2BC342A958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Hoja1" sheetId="1" r:id="rId1"/>
    <sheet name="Hoja2" sheetId="2" r:id="rId2"/>
    <sheet name="Hoja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" i="1" l="1" a="1"/>
  <c r="O5" i="1" s="1"/>
  <c r="O6" i="1" a="1"/>
  <c r="O6" i="1" s="1"/>
  <c r="O7" i="1" a="1"/>
  <c r="O7" i="1"/>
  <c r="O8" i="1" a="1"/>
  <c r="O8" i="1"/>
  <c r="O9" i="1" a="1"/>
  <c r="O9" i="1"/>
  <c r="O10" i="1" a="1"/>
  <c r="O10" i="1" s="1"/>
  <c r="O11" i="1" a="1"/>
  <c r="O11" i="1"/>
  <c r="O12" i="1" a="1"/>
  <c r="O12" i="1"/>
  <c r="O13" i="1" a="1"/>
  <c r="O13" i="1" s="1"/>
  <c r="O14" i="1" a="1"/>
  <c r="O14" i="1"/>
  <c r="O15" i="1" a="1"/>
  <c r="O15" i="1" s="1"/>
  <c r="O16" i="1" a="1"/>
  <c r="O16" i="1" s="1"/>
  <c r="O17" i="1" a="1"/>
  <c r="O17" i="1"/>
  <c r="O18" i="1" a="1"/>
  <c r="O18" i="1"/>
  <c r="O19" i="1" a="1"/>
  <c r="O19" i="1"/>
  <c r="O20" i="1" a="1"/>
  <c r="O20" i="1" s="1"/>
  <c r="O21" i="1" a="1"/>
  <c r="O21" i="1" s="1"/>
  <c r="O22" i="1" a="1"/>
  <c r="O22" i="1" s="1"/>
  <c r="O23" i="1" a="1"/>
  <c r="O23" i="1" s="1"/>
  <c r="O24" i="1" a="1"/>
  <c r="O24" i="1" s="1"/>
  <c r="N5" i="1" a="1"/>
  <c r="N5" i="1" s="1"/>
  <c r="N6" i="1" a="1"/>
  <c r="N6" i="1"/>
  <c r="N7" i="1" a="1"/>
  <c r="N7" i="1"/>
  <c r="N8" i="1" a="1"/>
  <c r="N8" i="1" s="1"/>
  <c r="N9" i="1" a="1"/>
  <c r="N9" i="1" s="1"/>
  <c r="N10" i="1" a="1"/>
  <c r="N10" i="1" s="1"/>
  <c r="N11" i="1" a="1"/>
  <c r="N11" i="1" s="1"/>
  <c r="N12" i="1" a="1"/>
  <c r="N12" i="1" s="1"/>
  <c r="N13" i="1" a="1"/>
  <c r="N13" i="1" s="1"/>
  <c r="N14" i="1" a="1"/>
  <c r="N14" i="1" s="1"/>
  <c r="N15" i="1" a="1"/>
  <c r="N15" i="1"/>
  <c r="N16" i="1" a="1"/>
  <c r="N16" i="1"/>
  <c r="N17" i="1" a="1"/>
  <c r="N17" i="1" s="1"/>
  <c r="N18" i="1" a="1"/>
  <c r="N18" i="1" s="1"/>
  <c r="N19" i="1" a="1"/>
  <c r="N19" i="1" s="1"/>
  <c r="N20" i="1" a="1"/>
  <c r="N20" i="1" s="1"/>
  <c r="N21" i="1" a="1"/>
  <c r="N21" i="1" s="1"/>
  <c r="N22" i="1" a="1"/>
  <c r="N22" i="1" s="1"/>
  <c r="N23" i="1" a="1"/>
  <c r="N23" i="1" s="1"/>
  <c r="N24" i="1" a="1"/>
  <c r="N24" i="1" s="1"/>
  <c r="J2" i="1" a="1"/>
  <c r="J2" i="1" s="1"/>
  <c r="J3" i="1" a="1"/>
  <c r="J3" i="1" s="1"/>
  <c r="J4" i="1" a="1"/>
  <c r="J4" i="1" s="1"/>
  <c r="J5" i="1" a="1"/>
  <c r="J5" i="1" s="1"/>
  <c r="J6" i="1" a="1"/>
  <c r="J6" i="1"/>
  <c r="J7" i="1" a="1"/>
  <c r="J7" i="1" s="1"/>
  <c r="F2" i="1" a="1"/>
  <c r="F2" i="1" s="1"/>
  <c r="F3" i="1" a="1"/>
  <c r="F3" i="1" s="1"/>
  <c r="F4" i="1" a="1"/>
  <c r="F4" i="1" s="1"/>
  <c r="F5" i="1" a="1"/>
  <c r="F5" i="1" s="1"/>
  <c r="F6" i="1" a="1"/>
  <c r="F6" i="1"/>
  <c r="F7" i="1" a="1"/>
  <c r="F7" i="1" s="1"/>
  <c r="F8" i="1" a="1"/>
  <c r="F8" i="1" s="1"/>
  <c r="F9" i="1" a="1"/>
  <c r="F9" i="1" s="1"/>
  <c r="F10" i="1" a="1"/>
  <c r="F10" i="1" s="1"/>
  <c r="F11" i="1" a="1"/>
  <c r="F11" i="1" s="1"/>
  <c r="F12" i="1" a="1"/>
  <c r="F12" i="1" s="1"/>
  <c r="F13" i="1" a="1"/>
  <c r="F13" i="1"/>
  <c r="F14" i="1" a="1"/>
  <c r="F14" i="1" s="1"/>
  <c r="F15" i="1" a="1"/>
  <c r="F15" i="1" s="1"/>
  <c r="F16" i="1" a="1"/>
  <c r="F1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<sst xmlns="http://schemas.openxmlformats.org/spreadsheetml/2006/main" count="60" uniqueCount="28">
  <si>
    <t>CURSO</t>
  </si>
  <si>
    <t>Word</t>
  </si>
  <si>
    <t>Excel</t>
  </si>
  <si>
    <t>DURACIÓN</t>
  </si>
  <si>
    <t>PRECIO TOTAL</t>
  </si>
  <si>
    <t>Access</t>
  </si>
  <si>
    <t>PRECIO HORA</t>
  </si>
  <si>
    <t>CURSO EXCEL</t>
  </si>
  <si>
    <t>CURSO WORD</t>
  </si>
  <si>
    <t>CURSO DISEÑO</t>
  </si>
  <si>
    <t>CURSO INTERNET</t>
  </si>
  <si>
    <t>CURSOACCESS</t>
  </si>
  <si>
    <t>Internet</t>
  </si>
  <si>
    <t>Diseño</t>
  </si>
  <si>
    <t>Alumno</t>
  </si>
  <si>
    <t>Puntuación</t>
  </si>
  <si>
    <t>Calificación</t>
  </si>
  <si>
    <t>Alumno 1</t>
  </si>
  <si>
    <t>Alumno 2</t>
  </si>
  <si>
    <t>Alumno 3</t>
  </si>
  <si>
    <t>Alumno 4</t>
  </si>
  <si>
    <t>Alumno 5</t>
  </si>
  <si>
    <t>Alumno 6</t>
  </si>
  <si>
    <t>Outlook</t>
  </si>
  <si>
    <t>DESCUENTO</t>
  </si>
  <si>
    <t>TOTAL</t>
  </si>
  <si>
    <t>PRECIO EXCEL</t>
  </si>
  <si>
    <t>PRECIO
WORD Y OUTLOOK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</si>
</sst>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€-1]_-;\-* #,##0.00\ [$€-1]_-;_-* &quot;-&quot;??\ [$€-1]_-"/>
    <numFmt numFmtId="165" formatCode="_-* #,##0.00\ [$€-1]_-;\-* #,##0.00\ [$€-1]_-;_-* &quot;-&quot;??\ [$€-1]_-;_-@_-"/>
  </numFmts>
  <fonts count="3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164" fontId="1" fillId="0" borderId="1" xfId="1" applyFont="1" applyBorder="1" applyAlignment="1">
      <alignment vertical="center" wrapText="1"/>
    </xf>
    <xf numFmtId="164" fontId="1" fillId="0" borderId="1" xfId="1" applyFont="1" applyBorder="1" applyAlignment="1">
      <alignment vertical="center"/>
    </xf>
    <xf numFmtId="165" fontId="1" fillId="0" borderId="0" xfId="0" applyNumberFormat="1" applyFont="1" applyAlignment="1">
      <alignment vertical="center"/>
    </xf>
    <xf numFmtId="164" fontId="2" fillId="0" borderId="1" xfId="1" applyFont="1" applyBorder="1" applyAlignment="1">
      <alignment vertical="center"/>
    </xf>
    <xf numFmtId="164" fontId="2" fillId="0" borderId="1" xfId="1" applyFont="1" applyBorder="1" applyAlignment="1">
      <alignment vertical="center" wrapText="1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4"/>
  <sheetViews>
    <sheetView tabSelected="1" topLeftCell="K1" workbookViewId="0">
      <selection activeCell="O5" sqref="O5"/>
    </sheetView>
  </sheetViews>
  <sheetFormatPr baseColWidth="10" defaultColWidth="11.46484375" defaultRowHeight="12.75" x14ac:dyDescent="0.35"/>
  <cols>
    <col min="1" max="1" width="16.6640625" style="1" bestFit="1" customWidth="1"/>
    <col min="2" max="2" width="13.86328125" style="1" bestFit="1" customWidth="1"/>
    <col min="3" max="3" width="4.53125" style="1" customWidth="1"/>
    <col min="4" max="4" width="14" style="1" bestFit="1" customWidth="1"/>
    <col min="5" max="16384" width="11.46484375" style="1"/>
  </cols>
  <sheetData>
    <row r="1" spans="1:15" ht="39.4" x14ac:dyDescent="0.35">
      <c r="A1" s="5" t="s">
        <v>0</v>
      </c>
      <c r="B1" s="5" t="s">
        <v>6</v>
      </c>
      <c r="D1" s="2" t="s">
        <v>0</v>
      </c>
      <c r="E1" s="2" t="s">
        <v>3</v>
      </c>
      <c r="F1" s="3" t="s">
        <v>4</v>
      </c>
      <c r="H1" s="1" t="s">
        <v>14</v>
      </c>
      <c r="I1" s="1" t="s">
        <v>15</v>
      </c>
      <c r="J1" s="1" t="s">
        <v>16</v>
      </c>
      <c r="L1" s="10" t="s">
        <v>27</v>
      </c>
      <c r="M1" s="9">
        <v>20</v>
      </c>
    </row>
    <row r="2" spans="1:15" ht="26.25" x14ac:dyDescent="0.35">
      <c r="A2" s="6" t="s">
        <v>8</v>
      </c>
      <c r="B2" s="7">
        <v>20</v>
      </c>
      <c r="D2" s="1" t="s">
        <v>5</v>
      </c>
      <c r="E2" s="1">
        <v>8</v>
      </c>
      <c r="F2" s="1" cm="1">
        <f t="array" ref="F2">E2*_xlfn.IFS(D2="WORD",$B$2,D2="EXCEL",$B$3,D2="ACCESS",$B$4,D2="DISEÑO",$B$5,D2="INTERNET",$B$6)</f>
        <v>240</v>
      </c>
      <c r="H2" s="1" t="s">
        <v>17</v>
      </c>
      <c r="I2" s="1">
        <v>95</v>
      </c>
      <c r="J2" s="1" t="str" cm="1">
        <f t="array" ref="J2">_xlfn.IFS(I2&gt;=95,"Excelente",I2&gt;80,"Notable",I2&gt;70,"Bien",I2&lt;=70,"Necesita mejorar")</f>
        <v>Excelente</v>
      </c>
      <c r="L2" s="10" t="s">
        <v>26</v>
      </c>
      <c r="M2" s="9">
        <v>25</v>
      </c>
    </row>
    <row r="3" spans="1:15" ht="13.15" x14ac:dyDescent="0.35">
      <c r="A3" s="6" t="s">
        <v>7</v>
      </c>
      <c r="B3" s="7">
        <v>25</v>
      </c>
      <c r="D3" s="4" t="s">
        <v>2</v>
      </c>
      <c r="E3" s="1">
        <v>12</v>
      </c>
      <c r="F3" s="1" cm="1">
        <f t="array" ref="F3">E3*_xlfn.IFS(D3="WORD",$B$2,D3="EXCEL",$B$3,D3="ACCESS",$B$4,D3="DISEÑO",$B$5,D3="INTERNET",$B$6)</f>
        <v>300</v>
      </c>
      <c r="H3" s="1" t="s">
        <v>18</v>
      </c>
      <c r="I3" s="1">
        <v>88</v>
      </c>
      <c r="J3" s="1" t="str" cm="1">
        <f t="array" ref="J3">_xlfn.IFS(I3&gt;=95,"Excelente",I3&gt;80,"Notable",I3&gt;70,"Bien",I3&lt;=70,"Necesita mejorar")</f>
        <v>Notable</v>
      </c>
      <c r="N3" s="2"/>
    </row>
    <row r="4" spans="1:15" ht="13.15" x14ac:dyDescent="0.35">
      <c r="A4" s="6" t="s">
        <v>11</v>
      </c>
      <c r="B4" s="7">
        <v>30</v>
      </c>
      <c r="D4" s="4" t="s">
        <v>1</v>
      </c>
      <c r="E4" s="1">
        <v>12</v>
      </c>
      <c r="F4" s="1" cm="1">
        <f t="array" ref="F4">E4*_xlfn.IFS(D4="WORD",$B$2,D4="EXCEL",$B$3,D4="ACCESS",$B$4,D4="DISEÑO",$B$5,D4="INTERNET",$B$6)</f>
        <v>240</v>
      </c>
      <c r="H4" s="1" t="s">
        <v>19</v>
      </c>
      <c r="I4" s="1">
        <v>82</v>
      </c>
      <c r="J4" s="1" t="str" cm="1">
        <f t="array" ref="J4">_xlfn.IFS(I4&gt;=95,"Excelente",I4&gt;80,"Notable",I4&gt;70,"Bien",I4&lt;=70,"Necesita mejorar")</f>
        <v>Notable</v>
      </c>
      <c r="L4" s="2" t="s">
        <v>0</v>
      </c>
      <c r="M4" s="2" t="s">
        <v>3</v>
      </c>
      <c r="N4" s="2" t="s">
        <v>25</v>
      </c>
      <c r="O4" s="2" t="s">
        <v>24</v>
      </c>
    </row>
    <row r="5" spans="1:15" x14ac:dyDescent="0.35">
      <c r="A5" s="6" t="s">
        <v>9</v>
      </c>
      <c r="B5" s="7">
        <v>35</v>
      </c>
      <c r="D5" s="4" t="s">
        <v>5</v>
      </c>
      <c r="E5" s="1">
        <v>20</v>
      </c>
      <c r="F5" s="1" cm="1">
        <f t="array" ref="F5">E5*_xlfn.IFS(D5="WORD",$B$2,D5="EXCEL",$B$3,D5="ACCESS",$B$4,D5="DISEÑO",$B$5,D5="INTERNET",$B$6)</f>
        <v>600</v>
      </c>
      <c r="H5" s="1" t="s">
        <v>20</v>
      </c>
      <c r="I5" s="1">
        <v>76</v>
      </c>
      <c r="J5" s="1" t="str" cm="1">
        <f t="array" ref="J5">_xlfn.IFS(I5&gt;=95,"Excelente",I5&gt;80,"Notable",I5&gt;70,"Bien",I5&lt;=70,"Necesita mejorar")</f>
        <v>Bien</v>
      </c>
      <c r="L5" s="4" t="s">
        <v>23</v>
      </c>
      <c r="M5" s="1">
        <v>15</v>
      </c>
      <c r="N5" s="8" cm="1">
        <f t="array" ref="N5">M5*_xlfn.IFS(OR(L5="word",L5="outlook"),$M$1,L5="excel",$M$2)</f>
        <v>300</v>
      </c>
      <c r="O5" s="4" t="str" cm="1">
        <f t="array" ref="O5">_xlfn.IFS(AND(L5="excel",M5&gt;12),"descuento",TRUE,"sin descuento")</f>
        <v>sin descuento</v>
      </c>
    </row>
    <row r="6" spans="1:15" ht="25.5" x14ac:dyDescent="0.35">
      <c r="A6" s="6" t="s">
        <v>10</v>
      </c>
      <c r="B6" s="7">
        <v>28</v>
      </c>
      <c r="D6" s="4" t="s">
        <v>12</v>
      </c>
      <c r="E6" s="1">
        <v>30</v>
      </c>
      <c r="F6" s="1" cm="1">
        <f t="array" ref="F6">E6*_xlfn.IFS(D6="WORD",$B$2,D6="EXCEL",$B$3,D6="ACCESS",$B$4,D6="DISEÑO",$B$5,D6="INTERNET",$B$6)</f>
        <v>840</v>
      </c>
      <c r="H6" s="1" t="s">
        <v>21</v>
      </c>
      <c r="I6" s="1">
        <v>68</v>
      </c>
      <c r="J6" s="1" t="str" cm="1">
        <f t="array" ref="J6">_xlfn.IFS(I6&gt;=95,"Excelente",I6&gt;80,"Notable",I6&gt;70,"Bien",I6&lt;=70,"Necesita mejorar")</f>
        <v>Necesita mejorar</v>
      </c>
      <c r="L6" s="1" t="s">
        <v>2</v>
      </c>
      <c r="M6" s="1">
        <v>20</v>
      </c>
      <c r="N6" s="8" cm="1">
        <f t="array" ref="N6">M6*_xlfn.IFS(OR(L6="word",L6="outlook"),$M$1,L6="excel",$M$2)</f>
        <v>500</v>
      </c>
      <c r="O6" s="4" t="str" cm="1">
        <f t="array" ref="O6">_xlfn.IFS(AND(L6="excel",M6&gt;12),"descuento",TRUE,"sin descuento")</f>
        <v>descuento</v>
      </c>
    </row>
    <row r="7" spans="1:15" x14ac:dyDescent="0.35">
      <c r="D7" s="4" t="s">
        <v>13</v>
      </c>
      <c r="E7" s="1">
        <v>10</v>
      </c>
      <c r="F7" s="1" cm="1">
        <f t="array" ref="F7">E7*_xlfn.IFS(D7="WORD",$B$2,D7="EXCEL",$B$3,D7="ACCESS",$B$4,D7="DISEÑO",$B$5,D7="INTERNET",$B$6)</f>
        <v>350</v>
      </c>
      <c r="H7" s="1" t="s">
        <v>22</v>
      </c>
      <c r="I7" s="1">
        <v>55</v>
      </c>
      <c r="J7" s="1" t="str" cm="1">
        <f t="array" ref="J7">_xlfn.IFS(I7&gt;=95,"Excelente",I7&gt;80,"Notable",I7&gt;70,"Bien",I7&lt;=70,"Necesita mejorar")</f>
        <v>Necesita mejorar</v>
      </c>
      <c r="L7" s="1" t="s">
        <v>1</v>
      </c>
      <c r="M7" s="1">
        <v>25</v>
      </c>
      <c r="N7" s="8" cm="1">
        <f t="array" ref="N7">M7*_xlfn.IFS(OR(L7="word",L7="outlook"),$M$1,L7="excel",$M$2)</f>
        <v>500</v>
      </c>
      <c r="O7" s="4" t="str" cm="1">
        <f t="array" ref="O7">_xlfn.IFS(AND(L7="excel",M7&gt;12),"descuento",TRUE,"sin descuento")</f>
        <v>sin descuento</v>
      </c>
    </row>
    <row r="8" spans="1:15" x14ac:dyDescent="0.35">
      <c r="D8" s="4" t="s">
        <v>5</v>
      </c>
      <c r="E8" s="1">
        <v>15</v>
      </c>
      <c r="F8" s="1" cm="1">
        <f t="array" ref="F8">E8*_xlfn.IFS(D8="WORD",$B$2,D8="EXCEL",$B$3,D8="ACCESS",$B$4,D8="DISEÑO",$B$5,D8="INTERNET",$B$6)</f>
        <v>450</v>
      </c>
      <c r="L8" s="1" t="s">
        <v>2</v>
      </c>
      <c r="M8" s="1">
        <v>20</v>
      </c>
      <c r="N8" s="8" cm="1">
        <f t="array" ref="N8">M8*_xlfn.IFS(OR(L8="word",L8="outlook"),$M$1,L8="excel",$M$2)</f>
        <v>500</v>
      </c>
      <c r="O8" s="4" t="str" cm="1">
        <f t="array" ref="O8">_xlfn.IFS(AND(L8="excel",M8&gt;12),"descuento",TRUE,"sin descuento")</f>
        <v>descuento</v>
      </c>
    </row>
    <row r="9" spans="1:15" x14ac:dyDescent="0.35">
      <c r="D9" s="4" t="s">
        <v>12</v>
      </c>
      <c r="E9" s="1">
        <v>20</v>
      </c>
      <c r="F9" s="1" cm="1">
        <f t="array" ref="F9">E9*_xlfn.IFS(D9="WORD",$B$2,D9="EXCEL",$B$3,D9="ACCESS",$B$4,D9="DISEÑO",$B$5,D9="INTERNET",$B$6)</f>
        <v>560</v>
      </c>
      <c r="L9" s="1" t="s">
        <v>1</v>
      </c>
      <c r="M9" s="1">
        <v>30</v>
      </c>
      <c r="N9" s="8" cm="1">
        <f t="array" ref="N9">M9*_xlfn.IFS(OR(L9="word",L9="outlook"),$M$1,L9="excel",$M$2)</f>
        <v>600</v>
      </c>
      <c r="O9" s="4" t="str" cm="1">
        <f t="array" ref="O9">_xlfn.IFS(AND(L9="excel",M9&gt;12),"descuento",TRUE,"sin descuento")</f>
        <v>sin descuento</v>
      </c>
    </row>
    <row r="10" spans="1:15" x14ac:dyDescent="0.35">
      <c r="D10" s="4" t="s">
        <v>12</v>
      </c>
      <c r="E10" s="1">
        <v>20</v>
      </c>
      <c r="F10" s="1" cm="1">
        <f t="array" ref="F10">E10*_xlfn.IFS(D10="WORD",$B$2,D10="EXCEL",$B$3,D10="ACCESS",$B$4,D10="DISEÑO",$B$5,D10="INTERNET",$B$6)</f>
        <v>560</v>
      </c>
      <c r="L10" s="1" t="s">
        <v>2</v>
      </c>
      <c r="M10" s="1">
        <v>20</v>
      </c>
      <c r="N10" s="8" cm="1">
        <f t="array" ref="N10">M10*_xlfn.IFS(OR(L10="word",L10="outlook"),$M$1,L10="excel",$M$2)</f>
        <v>500</v>
      </c>
      <c r="O10" s="4" t="str" cm="1">
        <f t="array" ref="O10">_xlfn.IFS(AND(L10="excel",M10&gt;12),"descuento",TRUE,"sin descuento")</f>
        <v>descuento</v>
      </c>
    </row>
    <row r="11" spans="1:15" x14ac:dyDescent="0.35">
      <c r="D11" s="4" t="s">
        <v>13</v>
      </c>
      <c r="E11" s="1">
        <v>20</v>
      </c>
      <c r="F11" s="1" cm="1">
        <f t="array" ref="F11">E11*_xlfn.IFS(D11="WORD",$B$2,D11="EXCEL",$B$3,D11="ACCESS",$B$4,D11="DISEÑO",$B$5,D11="INTERNET",$B$6)</f>
        <v>700</v>
      </c>
      <c r="L11" s="1" t="s">
        <v>1</v>
      </c>
      <c r="M11" s="1">
        <v>25</v>
      </c>
      <c r="N11" s="8" cm="1">
        <f t="array" ref="N11">M11*_xlfn.IFS(OR(L11="word",L11="outlook"),$M$1,L11="excel",$M$2)</f>
        <v>500</v>
      </c>
      <c r="O11" s="4" t="str" cm="1">
        <f t="array" ref="O11">_xlfn.IFS(AND(L11="excel",M11&gt;12),"descuento",TRUE,"sin descuento")</f>
        <v>sin descuento</v>
      </c>
    </row>
    <row r="12" spans="1:15" x14ac:dyDescent="0.35">
      <c r="D12" s="4" t="s">
        <v>13</v>
      </c>
      <c r="E12" s="1">
        <v>5</v>
      </c>
      <c r="F12" s="1" cm="1">
        <f t="array" ref="F12">E12*_xlfn.IFS(D12="WORD",$B$2,D12="EXCEL",$B$3,D12="ACCESS",$B$4,D12="DISEÑO",$B$5,D12="INTERNET",$B$6)</f>
        <v>175</v>
      </c>
      <c r="L12" s="1" t="s">
        <v>2</v>
      </c>
      <c r="M12" s="1">
        <v>10</v>
      </c>
      <c r="N12" s="8" cm="1">
        <f t="array" ref="N12">M12*_xlfn.IFS(OR(L12="word",L12="outlook"),$M$1,L12="excel",$M$2)</f>
        <v>250</v>
      </c>
      <c r="O12" s="4" t="str" cm="1">
        <f t="array" ref="O12">_xlfn.IFS(AND(L12="excel",M12&gt;12),"descuento",TRUE,"sin descuento")</f>
        <v>sin descuento</v>
      </c>
    </row>
    <row r="13" spans="1:15" x14ac:dyDescent="0.35">
      <c r="D13" s="4" t="s">
        <v>5</v>
      </c>
      <c r="E13" s="1">
        <v>15</v>
      </c>
      <c r="F13" s="1" cm="1">
        <f t="array" ref="F13">E13*_xlfn.IFS(D13="WORD",$B$2,D13="EXCEL",$B$3,D13="ACCESS",$B$4,D13="DISEÑO",$B$5,D13="INTERNET",$B$6)</f>
        <v>450</v>
      </c>
      <c r="L13" s="1" t="s">
        <v>1</v>
      </c>
      <c r="M13" s="1">
        <v>5</v>
      </c>
      <c r="N13" s="8" cm="1">
        <f t="array" ref="N13">M13*_xlfn.IFS(OR(L13="word",L13="outlook"),$M$1,L13="excel",$M$2)</f>
        <v>100</v>
      </c>
      <c r="O13" s="4" t="str" cm="1">
        <f t="array" ref="O13">_xlfn.IFS(AND(L13="excel",M13&gt;12),"descuento",TRUE,"sin descuento")</f>
        <v>sin descuento</v>
      </c>
    </row>
    <row r="14" spans="1:15" x14ac:dyDescent="0.35">
      <c r="D14" s="4" t="s">
        <v>1</v>
      </c>
      <c r="E14" s="1">
        <v>25</v>
      </c>
      <c r="F14" s="1" cm="1">
        <f t="array" ref="F14">E14*_xlfn.IFS(D14="WORD",$B$2,D14="EXCEL",$B$3,D14="ACCESS",$B$4,D14="DISEÑO",$B$5,D14="INTERNET",$B$6)</f>
        <v>500</v>
      </c>
      <c r="L14" s="1" t="s">
        <v>2</v>
      </c>
      <c r="M14" s="1">
        <v>15</v>
      </c>
      <c r="N14" s="8" cm="1">
        <f t="array" ref="N14">M14*_xlfn.IFS(OR(L14="word",L14="outlook"),$M$1,L14="excel",$M$2)</f>
        <v>375</v>
      </c>
      <c r="O14" s="4" t="str" cm="1">
        <f t="array" ref="O14">_xlfn.IFS(AND(L14="excel",M14&gt;12),"descuento",TRUE,"sin descuento")</f>
        <v>descuento</v>
      </c>
    </row>
    <row r="15" spans="1:15" x14ac:dyDescent="0.35">
      <c r="D15" s="4" t="s">
        <v>2</v>
      </c>
      <c r="E15" s="1">
        <v>25</v>
      </c>
      <c r="F15" s="1" cm="1">
        <f t="array" ref="F15">E15*_xlfn.IFS(D15="WORD",$B$2,D15="EXCEL",$B$3,D15="ACCESS",$B$4,D15="DISEÑO",$B$5,D15="INTERNET",$B$6)</f>
        <v>625</v>
      </c>
      <c r="L15" s="4" t="s">
        <v>1</v>
      </c>
      <c r="M15" s="1">
        <v>20</v>
      </c>
      <c r="N15" s="8" cm="1">
        <f t="array" ref="N15">M15*_xlfn.IFS(OR(L15="word",L15="outlook"),$M$1,L15="excel",$M$2)</f>
        <v>400</v>
      </c>
      <c r="O15" s="4" t="str" cm="1">
        <f t="array" ref="O15">_xlfn.IFS(AND(L15="excel",M15&gt;12),"descuento",TRUE,"sin descuento")</f>
        <v>sin descuento</v>
      </c>
    </row>
    <row r="16" spans="1:15" x14ac:dyDescent="0.35">
      <c r="D16" s="4" t="s">
        <v>2</v>
      </c>
      <c r="E16" s="1">
        <v>30</v>
      </c>
      <c r="F16" s="1" cm="1">
        <f t="array" ref="F16">E16*_xlfn.IFS(D16="WORD",$B$2,D16="EXCEL",$B$3,D16="ACCESS",$B$4,D16="DISEÑO",$B$5,D16="INTERNET",$B$6)</f>
        <v>750</v>
      </c>
      <c r="L16" s="4" t="s">
        <v>2</v>
      </c>
      <c r="M16" s="1">
        <v>12</v>
      </c>
      <c r="N16" s="8" cm="1">
        <f t="array" ref="N16">M16*_xlfn.IFS(OR(L16="word",L16="outlook"),$M$1,L16="excel",$M$2)</f>
        <v>300</v>
      </c>
      <c r="O16" s="4" t="str" cm="1">
        <f t="array" ref="O16">_xlfn.IFS(AND(L16="excel",M16&gt;12),"descuento",TRUE,"sin descuento")</f>
        <v>sin descuento</v>
      </c>
    </row>
    <row r="17" spans="12:15" x14ac:dyDescent="0.35">
      <c r="L17" s="1" t="s">
        <v>23</v>
      </c>
      <c r="M17" s="1">
        <v>10</v>
      </c>
      <c r="N17" s="8" cm="1">
        <f t="array" ref="N17">M17*_xlfn.IFS(OR(L17="word",L17="outlook"),$M$1,L17="excel",$M$2)</f>
        <v>200</v>
      </c>
      <c r="O17" s="4" t="str" cm="1">
        <f t="array" ref="O17">_xlfn.IFS(AND(L17="excel",M17&gt;12),"descuento",TRUE,"sin descuento")</f>
        <v>sin descuento</v>
      </c>
    </row>
    <row r="18" spans="12:15" x14ac:dyDescent="0.35">
      <c r="L18" s="1" t="s">
        <v>23</v>
      </c>
      <c r="M18" s="1">
        <v>15</v>
      </c>
      <c r="N18" s="8" cm="1">
        <f t="array" ref="N18">M18*_xlfn.IFS(OR(L18="word",L18="outlook"),$M$1,L18="excel",$M$2)</f>
        <v>300</v>
      </c>
      <c r="O18" s="4" t="str" cm="1">
        <f t="array" ref="O18">_xlfn.IFS(AND(L18="excel",M18&gt;12),"descuento",TRUE,"sin descuento")</f>
        <v>sin descuento</v>
      </c>
    </row>
    <row r="19" spans="12:15" x14ac:dyDescent="0.35">
      <c r="L19" s="4" t="s">
        <v>2</v>
      </c>
      <c r="M19" s="1">
        <v>8</v>
      </c>
      <c r="N19" s="8" cm="1">
        <f t="array" ref="N19">M19*_xlfn.IFS(OR(L19="word",L19="outlook"),$M$1,L19="excel",$M$2)</f>
        <v>200</v>
      </c>
      <c r="O19" s="4" t="str" cm="1">
        <f t="array" ref="O19">_xlfn.IFS(AND(L19="excel",M19&gt;12),"descuento",TRUE,"sin descuento")</f>
        <v>sin descuento</v>
      </c>
    </row>
    <row r="20" spans="12:15" x14ac:dyDescent="0.35">
      <c r="L20" s="1" t="s">
        <v>23</v>
      </c>
      <c r="M20" s="1">
        <v>10</v>
      </c>
      <c r="N20" s="8" cm="1">
        <f t="array" ref="N20">M20*_xlfn.IFS(OR(L20="word",L20="outlook"),$M$1,L20="excel",$M$2)</f>
        <v>200</v>
      </c>
      <c r="O20" s="4" t="str" cm="1">
        <f t="array" ref="O20">_xlfn.IFS(AND(L20="excel",M20&gt;12),"descuento",TRUE,"sin descuento")</f>
        <v>sin descuento</v>
      </c>
    </row>
    <row r="21" spans="12:15" x14ac:dyDescent="0.35">
      <c r="L21" s="4" t="s">
        <v>1</v>
      </c>
      <c r="M21" s="1">
        <v>12</v>
      </c>
      <c r="N21" s="8" cm="1">
        <f t="array" ref="N21">M21*_xlfn.IFS(OR(L21="word",L21="outlook"),$M$1,L21="excel",$M$2)</f>
        <v>240</v>
      </c>
      <c r="O21" s="4" t="str" cm="1">
        <f t="array" ref="O21">_xlfn.IFS(AND(L21="excel",M21&gt;12),"descuento",TRUE,"sin descuento")</f>
        <v>sin descuento</v>
      </c>
    </row>
    <row r="22" spans="12:15" x14ac:dyDescent="0.35">
      <c r="L22" s="4" t="s">
        <v>2</v>
      </c>
      <c r="M22" s="1">
        <v>30</v>
      </c>
      <c r="N22" s="8" cm="1">
        <f t="array" ref="N22">M22*_xlfn.IFS(OR(L22="word",L22="outlook"),$M$1,L22="excel",$M$2)</f>
        <v>750</v>
      </c>
      <c r="O22" s="4" t="str" cm="1">
        <f t="array" ref="O22">_xlfn.IFS(AND(L22="excel",M22&gt;12),"descuento",TRUE,"sin descuento")</f>
        <v>descuento</v>
      </c>
    </row>
    <row r="23" spans="12:15" x14ac:dyDescent="0.35">
      <c r="L23" s="1" t="s">
        <v>23</v>
      </c>
      <c r="M23" s="1">
        <v>25</v>
      </c>
      <c r="N23" s="8" cm="1">
        <f t="array" ref="N23">M23*_xlfn.IFS(OR(L23="word",L23="outlook"),$M$1,L23="excel",$M$2)</f>
        <v>500</v>
      </c>
      <c r="O23" s="4" t="str" cm="1">
        <f t="array" ref="O23">_xlfn.IFS(AND(L23="excel",M23&gt;12),"descuento",TRUE,"sin descuento")</f>
        <v>sin descuento</v>
      </c>
    </row>
    <row r="24" spans="12:15" x14ac:dyDescent="0.35">
      <c r="L24" s="1" t="s">
        <v>23</v>
      </c>
      <c r="M24" s="1">
        <v>30</v>
      </c>
      <c r="N24" s="8" cm="1">
        <f t="array" ref="N24">M24*_xlfn.IFS(OR(L24="word",L24="outlook"),$M$1,L24="excel",$M$2)</f>
        <v>600</v>
      </c>
      <c r="O24" s="4" t="str" cm="1">
        <f t="array" ref="O24">_xlfn.IFS(AND(L24="excel",M24&gt;12),"descuento",TRUE,"sin descuento")</f>
        <v>sin descuento</v>
      </c>
    </row>
  </sheetData>
  <phoneticPr fontId="0" type="noConversion"/>
  <printOptions headings="1" gridLines="1"/>
  <pageMargins left="0.75" right="0.75" top="1" bottom="1" header="0" footer="0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2.75" x14ac:dyDescent="0.35"/>
  <sheetData/>
  <phoneticPr fontId="0" type="noConversion"/>
  <pageMargins left="0.75" right="0.75" top="1" bottom="1" header="0" footer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2.75" x14ac:dyDescent="0.35"/>
  <sheetData/>
  <phoneticPr fontId="0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A. Pérez Lorenzo</dc:creator>
  <cp:lastModifiedBy>Carolina Carrera</cp:lastModifiedBy>
  <cp:lastPrinted>2005-03-17T12:35:48Z</cp:lastPrinted>
  <dcterms:created xsi:type="dcterms:W3CDTF">2004-04-08T19:31:56Z</dcterms:created>
  <dcterms:modified xsi:type="dcterms:W3CDTF">2026-04-21T16:52:20Z</dcterms:modified>
</cp:coreProperties>
</file>