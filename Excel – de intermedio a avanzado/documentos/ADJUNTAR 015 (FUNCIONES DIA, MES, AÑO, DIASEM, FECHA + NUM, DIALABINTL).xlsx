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OneDrive\Desktop\Santander-Open-Academy\Excel – de intermedio a avanzado\documentos\"/>
    </mc:Choice>
  </mc:AlternateContent>
  <xr:revisionPtr revIDLastSave="0" documentId="13_ncr:1_{5FEC7D23-7D80-4210-BF26-D7EA088571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H97" i="1" s="1"/>
  <c r="F97" i="1"/>
  <c r="G97" i="1"/>
  <c r="I97" i="1"/>
  <c r="D98" i="1"/>
  <c r="F98" i="1"/>
  <c r="G98" i="1"/>
  <c r="H98" i="1"/>
  <c r="I98" i="1"/>
  <c r="D99" i="1"/>
  <c r="F99" i="1"/>
  <c r="G99" i="1"/>
  <c r="H99" i="1"/>
  <c r="I99" i="1"/>
  <c r="D100" i="1"/>
  <c r="F100" i="1"/>
  <c r="G100" i="1"/>
  <c r="H100" i="1"/>
  <c r="I100" i="1"/>
  <c r="D101" i="1"/>
  <c r="F101" i="1"/>
  <c r="G101" i="1"/>
  <c r="H101" i="1"/>
  <c r="I101" i="1"/>
  <c r="D102" i="1"/>
  <c r="F102" i="1"/>
  <c r="G102" i="1"/>
  <c r="H102" i="1"/>
  <c r="I102" i="1"/>
  <c r="D103" i="1"/>
  <c r="F103" i="1"/>
  <c r="G103" i="1"/>
  <c r="H103" i="1"/>
  <c r="I103" i="1"/>
  <c r="D104" i="1"/>
  <c r="F104" i="1"/>
  <c r="G104" i="1"/>
  <c r="H104" i="1"/>
  <c r="I104" i="1"/>
  <c r="D105" i="1"/>
  <c r="F105" i="1"/>
  <c r="G105" i="1"/>
  <c r="H105" i="1"/>
  <c r="I105" i="1"/>
  <c r="D106" i="1"/>
  <c r="F106" i="1"/>
  <c r="G106" i="1"/>
  <c r="H106" i="1"/>
  <c r="I106" i="1"/>
  <c r="D108" i="1"/>
  <c r="G86" i="1"/>
  <c r="G87" i="1"/>
  <c r="G88" i="1"/>
  <c r="G89" i="1"/>
  <c r="G90" i="1"/>
  <c r="G91" i="1"/>
  <c r="G92" i="1"/>
  <c r="G85" i="1"/>
  <c r="D86" i="1"/>
  <c r="D87" i="1"/>
  <c r="D88" i="1"/>
  <c r="D89" i="1"/>
  <c r="D90" i="1"/>
  <c r="D91" i="1"/>
  <c r="D92" i="1"/>
  <c r="D85" i="1"/>
  <c r="E86" i="1"/>
  <c r="E87" i="1"/>
  <c r="E88" i="1"/>
  <c r="E89" i="1"/>
  <c r="E90" i="1"/>
  <c r="E91" i="1"/>
  <c r="E92" i="1"/>
  <c r="E85" i="1"/>
  <c r="G75" i="1"/>
  <c r="G76" i="1"/>
  <c r="G77" i="1"/>
  <c r="G78" i="1"/>
  <c r="G79" i="1"/>
  <c r="G80" i="1"/>
  <c r="G81" i="1"/>
  <c r="F75" i="1"/>
  <c r="F76" i="1"/>
  <c r="F77" i="1"/>
  <c r="F78" i="1"/>
  <c r="F79" i="1"/>
  <c r="F80" i="1"/>
  <c r="F81" i="1"/>
  <c r="G74" i="1"/>
  <c r="F74" i="1"/>
  <c r="E75" i="1"/>
  <c r="E76" i="1"/>
  <c r="E77" i="1"/>
  <c r="E78" i="1"/>
  <c r="E79" i="1"/>
  <c r="E80" i="1"/>
  <c r="E81" i="1"/>
  <c r="E74" i="1"/>
  <c r="D75" i="1"/>
  <c r="D76" i="1"/>
  <c r="D77" i="1"/>
  <c r="D78" i="1"/>
  <c r="D79" i="1"/>
  <c r="D80" i="1"/>
  <c r="D81" i="1"/>
  <c r="D74" i="1"/>
  <c r="D63" i="1"/>
  <c r="G64" i="1"/>
  <c r="G65" i="1"/>
  <c r="G66" i="1"/>
  <c r="G67" i="1"/>
  <c r="G68" i="1"/>
  <c r="G69" i="1"/>
  <c r="G70" i="1"/>
  <c r="G63" i="1"/>
  <c r="F64" i="1"/>
  <c r="F65" i="1"/>
  <c r="F66" i="1"/>
  <c r="F67" i="1"/>
  <c r="F68" i="1"/>
  <c r="F69" i="1"/>
  <c r="F70" i="1"/>
  <c r="F63" i="1"/>
  <c r="E63" i="1"/>
  <c r="E64" i="1"/>
  <c r="E65" i="1"/>
  <c r="E66" i="1"/>
  <c r="E67" i="1"/>
  <c r="E68" i="1"/>
  <c r="E69" i="1"/>
  <c r="E70" i="1"/>
  <c r="D64" i="1"/>
  <c r="D65" i="1"/>
  <c r="D66" i="1"/>
  <c r="D67" i="1"/>
  <c r="D68" i="1"/>
  <c r="D69" i="1"/>
  <c r="D70" i="1"/>
  <c r="F53" i="1"/>
  <c r="F54" i="1"/>
  <c r="E55" i="1"/>
  <c r="E56" i="1"/>
  <c r="D55" i="1"/>
  <c r="C53" i="1"/>
  <c r="E53" i="1" s="1"/>
  <c r="C54" i="1"/>
  <c r="E54" i="1" s="1"/>
  <c r="C55" i="1"/>
  <c r="C56" i="1"/>
  <c r="D56" i="1" s="1"/>
  <c r="C57" i="1"/>
  <c r="E57" i="1" s="1"/>
  <c r="C58" i="1"/>
  <c r="E58" i="1" s="1"/>
  <c r="C59" i="1"/>
  <c r="E59" i="1" s="1"/>
  <c r="C60" i="1"/>
  <c r="E60" i="1" s="1"/>
  <c r="H42" i="1"/>
  <c r="H43" i="1"/>
  <c r="H44" i="1"/>
  <c r="H45" i="1"/>
  <c r="H46" i="1"/>
  <c r="H47" i="1"/>
  <c r="H48" i="1"/>
  <c r="H41" i="1"/>
  <c r="E41" i="1"/>
  <c r="E42" i="1"/>
  <c r="E43" i="1"/>
  <c r="E44" i="1"/>
  <c r="E45" i="1"/>
  <c r="E46" i="1"/>
  <c r="E47" i="1"/>
  <c r="E48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F108" i="1"/>
  <c r="G108" i="1"/>
  <c r="H108" i="1"/>
  <c r="I108" i="1"/>
  <c r="D93" i="1"/>
  <c r="G82" i="1"/>
  <c r="E71" i="1"/>
  <c r="G93" i="1"/>
  <c r="E93" i="1"/>
  <c r="F82" i="1"/>
  <c r="E82" i="1"/>
  <c r="D82" i="1"/>
  <c r="F71" i="1"/>
  <c r="G71" i="1"/>
  <c r="D71" i="1"/>
  <c r="H50" i="1"/>
  <c r="E50" i="1"/>
  <c r="D57" i="1" l="1"/>
  <c r="D60" i="1"/>
  <c r="D59" i="1"/>
  <c r="D58" i="1"/>
  <c r="D53" i="1"/>
  <c r="D54" i="1"/>
  <c r="I14" i="1" a="1"/>
  <c r="I14" i="1" s="1"/>
  <c r="H2" i="1"/>
  <c r="H3" i="1"/>
  <c r="H4" i="1"/>
  <c r="H5" i="1"/>
  <c r="H6" i="1"/>
  <c r="H7" i="1"/>
  <c r="H8" i="1"/>
  <c r="G2" i="1"/>
  <c r="G3" i="1"/>
  <c r="G4" i="1"/>
  <c r="G5" i="1"/>
  <c r="G6" i="1"/>
  <c r="G7" i="1"/>
  <c r="G8" i="1"/>
  <c r="F2" i="1"/>
  <c r="F3" i="1"/>
  <c r="F4" i="1"/>
  <c r="F5" i="1"/>
  <c r="F6" i="1"/>
  <c r="F7" i="1"/>
  <c r="F8" i="1"/>
  <c r="E2" i="1"/>
  <c r="E3" i="1"/>
  <c r="E4" i="1"/>
  <c r="E5" i="1"/>
  <c r="E6" i="1"/>
  <c r="E7" i="1"/>
  <c r="E8" i="1"/>
  <c r="D2" i="1"/>
  <c r="D3" i="1"/>
  <c r="D4" i="1"/>
  <c r="D5" i="1"/>
  <c r="D6" i="1"/>
  <c r="D7" i="1"/>
  <c r="D8" i="1"/>
  <c r="C2" i="1"/>
  <c r="C3" i="1"/>
  <c r="C4" i="1"/>
  <c r="C5" i="1"/>
  <c r="C6" i="1"/>
  <c r="C7" i="1"/>
  <c r="C8" i="1"/>
  <c r="I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<sst xmlns="http://schemas.openxmlformats.org/spreadsheetml/2006/main" count="83" uniqueCount="68">
  <si>
    <t>EMPLEADO</t>
  </si>
  <si>
    <t>FECHA INCORPORACION</t>
  </si>
  <si>
    <t>EMP001</t>
  </si>
  <si>
    <t>EMP002</t>
  </si>
  <si>
    <t>EMP003</t>
  </si>
  <si>
    <t>EMP004</t>
  </si>
  <si>
    <t>EMP005</t>
  </si>
  <si>
    <t>EMP006</t>
  </si>
  <si>
    <t>EMP007</t>
  </si>
  <si>
    <t>DIA</t>
  </si>
  <si>
    <t>MES</t>
  </si>
  <si>
    <t>AÑO</t>
  </si>
  <si>
    <t>DIA DE LA SEMANA</t>
  </si>
  <si>
    <t>FECHA + 90 DIAS</t>
  </si>
  <si>
    <t>DIA.LAB.INTL</t>
  </si>
  <si>
    <t>FESTIVOS</t>
  </si>
  <si>
    <t>PROGRAMA</t>
  </si>
  <si>
    <t>EQUIPOS</t>
  </si>
  <si>
    <t>PROYECTO</t>
  </si>
  <si>
    <t>DESARROLLO</t>
  </si>
  <si>
    <t>CONSULTORIA</t>
  </si>
  <si>
    <t>FORMACION</t>
  </si>
  <si>
    <t>DIA SEM FECHA PAGO2</t>
  </si>
  <si>
    <t>FECHA PAGO2</t>
  </si>
  <si>
    <t>FECHA PAGO1</t>
  </si>
  <si>
    <t>AÑO FACTURA</t>
  </si>
  <si>
    <t>MES FACTURA</t>
  </si>
  <si>
    <t>FECHA FACTURA CLIENTE</t>
  </si>
  <si>
    <t>CONCEPTO</t>
  </si>
  <si>
    <t>NUMERO FACTURA CLIENTE</t>
  </si>
  <si>
    <t>PLAZO</t>
  </si>
  <si>
    <t>FECHA</t>
  </si>
  <si>
    <t>FECHA FIN</t>
  </si>
  <si>
    <t>FIN.MES</t>
  </si>
  <si>
    <t>DIAS PASADOS</t>
  </si>
  <si>
    <t>DIAS.LAB.INTL</t>
  </si>
  <si>
    <t>HOY</t>
  </si>
  <si>
    <t>CODIGO</t>
  </si>
  <si>
    <t>D</t>
  </si>
  <si>
    <t>DD</t>
  </si>
  <si>
    <t>DDD</t>
  </si>
  <si>
    <t>DDDD</t>
  </si>
  <si>
    <t>M</t>
  </si>
  <si>
    <t>MM</t>
  </si>
  <si>
    <t>MMM</t>
  </si>
  <si>
    <t>MMMM</t>
  </si>
  <si>
    <t>AA</t>
  </si>
  <si>
    <t>AAAA</t>
  </si>
  <si>
    <t>TEXTO 2</t>
  </si>
  <si>
    <t>Sandra Rupérez Martín</t>
  </si>
  <si>
    <t>Fernando García Hernández</t>
  </si>
  <si>
    <t>Carmen Gutierrez Sánchez</t>
  </si>
  <si>
    <t>Patricia Jiménez García</t>
  </si>
  <si>
    <t>Emilio Fuentes Arona</t>
  </si>
  <si>
    <t>Norberto Ferrando Luna</t>
  </si>
  <si>
    <t>Juan José Núñez Pérezoso</t>
  </si>
  <si>
    <t>Marcial Lorenzo Bejarano</t>
  </si>
  <si>
    <t>David Peña Ramírez</t>
  </si>
  <si>
    <t>Alejandro Moreno Nieto</t>
  </si>
  <si>
    <t>Num Gasto Final</t>
  </si>
  <si>
    <t>Día Semana Pago</t>
  </si>
  <si>
    <t>Días Lab Pasados</t>
  </si>
  <si>
    <t>Días Pasados</t>
  </si>
  <si>
    <t>Fecha Pagado</t>
  </si>
  <si>
    <t>Fecha Pago</t>
  </si>
  <si>
    <t>Fecha Gasto</t>
  </si>
  <si>
    <t>Empleado</t>
  </si>
  <si>
    <t>Num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</si>
</sst>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onsolas"/>
      <family val="3"/>
    </font>
    <font>
      <b/>
      <sz val="10"/>
      <name val="Arial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C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topLeftCell="A95" zoomScale="115" zoomScaleNormal="115" workbookViewId="0">
      <selection activeCell="H110" sqref="H110"/>
    </sheetView>
  </sheetViews>
  <sheetFormatPr baseColWidth="10" defaultColWidth="11.46484375" defaultRowHeight="14.25" x14ac:dyDescent="0.45"/>
  <cols>
    <col min="1" max="1" width="10.6640625" bestFit="1" customWidth="1"/>
    <col min="2" max="2" width="16.46484375" bestFit="1" customWidth="1"/>
    <col min="3" max="3" width="12.19921875" bestFit="1" customWidth="1"/>
    <col min="4" max="4" width="15.59765625" bestFit="1" customWidth="1"/>
    <col min="5" max="5" width="18.265625" bestFit="1" customWidth="1"/>
    <col min="6" max="6" width="16.46484375" bestFit="1" customWidth="1"/>
    <col min="7" max="7" width="14.1328125" bestFit="1" customWidth="1"/>
    <col min="8" max="8" width="34.59765625" bestFit="1" customWidth="1"/>
    <col min="9" max="9" width="17.59765625" bestFit="1" customWidth="1"/>
  </cols>
  <sheetData>
    <row r="1" spans="1:9" ht="30.75" customHeight="1" x14ac:dyDescent="0.45">
      <c r="A1" s="1" t="s">
        <v>0</v>
      </c>
      <c r="B1" s="1" t="s">
        <v>1</v>
      </c>
      <c r="C1" s="3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5" t="s">
        <v>14</v>
      </c>
    </row>
    <row r="2" spans="1:9" x14ac:dyDescent="0.45">
      <c r="A2" t="s">
        <v>2</v>
      </c>
      <c r="B2" s="2">
        <v>37334</v>
      </c>
      <c r="C2">
        <f>DAY(B2)</f>
        <v>19</v>
      </c>
      <c r="D2">
        <f>MONTH(B2)</f>
        <v>3</v>
      </c>
      <c r="E2">
        <f>YEAR(B2)</f>
        <v>2002</v>
      </c>
      <c r="F2">
        <f>WEEKDAY(B2,2)</f>
        <v>2</v>
      </c>
      <c r="G2" s="2">
        <f>B2+90</f>
        <v>37424</v>
      </c>
      <c r="H2" s="2">
        <f>WORKDAY.INTL(B2,90)</f>
        <v>37460</v>
      </c>
    </row>
    <row r="3" spans="1:9" x14ac:dyDescent="0.45">
      <c r="A3" t="s">
        <v>3</v>
      </c>
      <c r="B3" s="2">
        <v>36555</v>
      </c>
      <c r="C3">
        <f t="shared" ref="C3:C8" si="0">DAY(B3)</f>
        <v>30</v>
      </c>
      <c r="D3">
        <f t="shared" ref="D3:D8" si="1">MONTH(B3)</f>
        <v>1</v>
      </c>
      <c r="E3">
        <f t="shared" ref="E3:E8" si="2">YEAR(B3)</f>
        <v>2000</v>
      </c>
      <c r="F3">
        <f t="shared" ref="F3:F8" si="3">WEEKDAY(B3,2)</f>
        <v>7</v>
      </c>
      <c r="G3" s="2">
        <f t="shared" ref="G3:G8" si="4">B3+90</f>
        <v>36645</v>
      </c>
      <c r="H3" s="2">
        <f t="shared" ref="H3:H8" si="5">WORKDAY.INTL(B3,90)</f>
        <v>36679</v>
      </c>
    </row>
    <row r="4" spans="1:9" x14ac:dyDescent="0.45">
      <c r="A4" t="s">
        <v>4</v>
      </c>
      <c r="B4" s="2">
        <v>38139</v>
      </c>
      <c r="C4">
        <f t="shared" si="0"/>
        <v>1</v>
      </c>
      <c r="D4">
        <f t="shared" si="1"/>
        <v>6</v>
      </c>
      <c r="E4">
        <f t="shared" si="2"/>
        <v>2004</v>
      </c>
      <c r="F4">
        <f t="shared" si="3"/>
        <v>2</v>
      </c>
      <c r="G4" s="2">
        <f t="shared" si="4"/>
        <v>38229</v>
      </c>
      <c r="H4" s="2">
        <f t="shared" si="5"/>
        <v>38265</v>
      </c>
    </row>
    <row r="5" spans="1:9" x14ac:dyDescent="0.45">
      <c r="A5" t="s">
        <v>5</v>
      </c>
      <c r="B5" s="2">
        <v>36868</v>
      </c>
      <c r="C5">
        <f t="shared" si="0"/>
        <v>8</v>
      </c>
      <c r="D5">
        <f t="shared" si="1"/>
        <v>12</v>
      </c>
      <c r="E5">
        <f t="shared" si="2"/>
        <v>2000</v>
      </c>
      <c r="F5">
        <f t="shared" si="3"/>
        <v>5</v>
      </c>
      <c r="G5" s="2">
        <f t="shared" si="4"/>
        <v>36958</v>
      </c>
      <c r="H5" s="2">
        <f t="shared" si="5"/>
        <v>36994</v>
      </c>
    </row>
    <row r="6" spans="1:9" x14ac:dyDescent="0.45">
      <c r="A6" t="s">
        <v>6</v>
      </c>
      <c r="B6" s="2">
        <v>38432</v>
      </c>
      <c r="C6">
        <f t="shared" si="0"/>
        <v>21</v>
      </c>
      <c r="D6">
        <f t="shared" si="1"/>
        <v>3</v>
      </c>
      <c r="E6">
        <f t="shared" si="2"/>
        <v>2005</v>
      </c>
      <c r="F6">
        <f t="shared" si="3"/>
        <v>1</v>
      </c>
      <c r="G6" s="2">
        <f t="shared" si="4"/>
        <v>38522</v>
      </c>
      <c r="H6" s="2">
        <f t="shared" si="5"/>
        <v>38558</v>
      </c>
    </row>
    <row r="7" spans="1:9" x14ac:dyDescent="0.45">
      <c r="A7" t="s">
        <v>7</v>
      </c>
      <c r="B7" s="2">
        <v>37474</v>
      </c>
      <c r="C7">
        <f t="shared" si="0"/>
        <v>6</v>
      </c>
      <c r="D7">
        <f t="shared" si="1"/>
        <v>8</v>
      </c>
      <c r="E7">
        <f t="shared" si="2"/>
        <v>2002</v>
      </c>
      <c r="F7">
        <f t="shared" si="3"/>
        <v>2</v>
      </c>
      <c r="G7" s="2">
        <f t="shared" si="4"/>
        <v>37564</v>
      </c>
      <c r="H7" s="2">
        <f t="shared" si="5"/>
        <v>37600</v>
      </c>
    </row>
    <row r="8" spans="1:9" x14ac:dyDescent="0.45">
      <c r="A8" t="s">
        <v>8</v>
      </c>
      <c r="B8" s="2">
        <v>37938</v>
      </c>
      <c r="C8">
        <f t="shared" si="0"/>
        <v>13</v>
      </c>
      <c r="D8">
        <f t="shared" si="1"/>
        <v>11</v>
      </c>
      <c r="E8">
        <f t="shared" si="2"/>
        <v>2003</v>
      </c>
      <c r="F8">
        <f t="shared" si="3"/>
        <v>4</v>
      </c>
      <c r="G8" s="2">
        <f t="shared" si="4"/>
        <v>38028</v>
      </c>
      <c r="H8" s="2">
        <f t="shared" si="5"/>
        <v>38064</v>
      </c>
    </row>
    <row r="11" spans="1:9" x14ac:dyDescent="0.45">
      <c r="B11" t="s">
        <v>30</v>
      </c>
      <c r="C11">
        <v>45</v>
      </c>
    </row>
    <row r="13" spans="1:9" ht="39.4" x14ac:dyDescent="0.45">
      <c r="B13" s="7" t="s">
        <v>29</v>
      </c>
      <c r="C13" s="7" t="s">
        <v>28</v>
      </c>
      <c r="D13" s="7" t="s">
        <v>27</v>
      </c>
      <c r="E13" s="7" t="s">
        <v>26</v>
      </c>
      <c r="F13" s="7" t="s">
        <v>25</v>
      </c>
      <c r="G13" s="7" t="s">
        <v>24</v>
      </c>
      <c r="H13" s="7" t="s">
        <v>23</v>
      </c>
      <c r="I13" s="7" t="s">
        <v>22</v>
      </c>
    </row>
    <row r="14" spans="1:9" x14ac:dyDescent="0.45">
      <c r="B14" s="6">
        <v>1</v>
      </c>
      <c r="C14" t="s">
        <v>19</v>
      </c>
      <c r="D14" s="2">
        <v>45383</v>
      </c>
      <c r="E14">
        <f t="shared" ref="E14:E23" si="6">MONTH(D14)</f>
        <v>4</v>
      </c>
      <c r="F14">
        <f t="shared" ref="F14:F23" si="7">YEAR(D14)</f>
        <v>2024</v>
      </c>
      <c r="G14" s="2">
        <f t="shared" ref="G14:G23" si="8">D14+$C$11</f>
        <v>45428</v>
      </c>
      <c r="H14" s="2">
        <f t="shared" ref="H14:H23" si="9">WORKDAY.INTL(D14,$C$11,1,$B$26:$B$37)</f>
        <v>45446</v>
      </c>
      <c r="I14" cm="1">
        <f t="array" ref="I14:I23">WEEKDAY(H14:H23,2)</f>
        <v>1</v>
      </c>
    </row>
    <row r="15" spans="1:9" x14ac:dyDescent="0.45">
      <c r="B15" s="6">
        <v>2</v>
      </c>
      <c r="C15" t="s">
        <v>18</v>
      </c>
      <c r="D15" s="2">
        <v>45356</v>
      </c>
      <c r="E15">
        <f t="shared" si="6"/>
        <v>3</v>
      </c>
      <c r="F15">
        <f t="shared" si="7"/>
        <v>2024</v>
      </c>
      <c r="G15" s="2">
        <f t="shared" si="8"/>
        <v>45401</v>
      </c>
      <c r="H15" s="2">
        <f t="shared" si="9"/>
        <v>45421</v>
      </c>
      <c r="I15">
        <v>4</v>
      </c>
    </row>
    <row r="16" spans="1:9" x14ac:dyDescent="0.45">
      <c r="B16" s="6">
        <v>3</v>
      </c>
      <c r="C16" t="s">
        <v>17</v>
      </c>
      <c r="D16" s="2">
        <v>45389</v>
      </c>
      <c r="E16">
        <f t="shared" si="6"/>
        <v>4</v>
      </c>
      <c r="F16">
        <f t="shared" si="7"/>
        <v>2024</v>
      </c>
      <c r="G16" s="2">
        <f t="shared" si="8"/>
        <v>45434</v>
      </c>
      <c r="H16" s="2">
        <f t="shared" si="9"/>
        <v>45450</v>
      </c>
      <c r="I16">
        <v>5</v>
      </c>
    </row>
    <row r="17" spans="2:9" x14ac:dyDescent="0.45">
      <c r="B17" s="6">
        <v>4</v>
      </c>
      <c r="C17" t="s">
        <v>16</v>
      </c>
      <c r="D17" s="2">
        <v>45479</v>
      </c>
      <c r="E17">
        <f t="shared" si="6"/>
        <v>7</v>
      </c>
      <c r="F17">
        <f t="shared" si="7"/>
        <v>2024</v>
      </c>
      <c r="G17" s="2">
        <f t="shared" si="8"/>
        <v>45524</v>
      </c>
      <c r="H17" s="2">
        <f t="shared" si="9"/>
        <v>45545</v>
      </c>
      <c r="I17">
        <v>2</v>
      </c>
    </row>
    <row r="18" spans="2:9" x14ac:dyDescent="0.45">
      <c r="B18" s="6">
        <v>5</v>
      </c>
      <c r="C18" t="s">
        <v>21</v>
      </c>
      <c r="D18" s="2">
        <v>45395</v>
      </c>
      <c r="E18">
        <f t="shared" si="6"/>
        <v>4</v>
      </c>
      <c r="F18">
        <f t="shared" si="7"/>
        <v>2024</v>
      </c>
      <c r="G18" s="2">
        <f t="shared" si="8"/>
        <v>45440</v>
      </c>
      <c r="H18" s="2">
        <f t="shared" si="9"/>
        <v>45457</v>
      </c>
      <c r="I18">
        <v>5</v>
      </c>
    </row>
    <row r="19" spans="2:9" x14ac:dyDescent="0.45">
      <c r="B19" s="6">
        <v>6</v>
      </c>
      <c r="C19" t="s">
        <v>20</v>
      </c>
      <c r="D19" s="2">
        <v>45552</v>
      </c>
      <c r="E19">
        <f t="shared" si="6"/>
        <v>9</v>
      </c>
      <c r="F19">
        <f t="shared" si="7"/>
        <v>2024</v>
      </c>
      <c r="G19" s="2">
        <f t="shared" si="8"/>
        <v>45597</v>
      </c>
      <c r="H19" s="2">
        <f t="shared" si="9"/>
        <v>45616</v>
      </c>
      <c r="I19">
        <v>3</v>
      </c>
    </row>
    <row r="20" spans="2:9" x14ac:dyDescent="0.45">
      <c r="B20" s="6">
        <v>7</v>
      </c>
      <c r="C20" t="s">
        <v>19</v>
      </c>
      <c r="D20" s="2">
        <v>45331</v>
      </c>
      <c r="E20">
        <f t="shared" si="6"/>
        <v>2</v>
      </c>
      <c r="F20">
        <f t="shared" si="7"/>
        <v>2024</v>
      </c>
      <c r="G20" s="2">
        <f t="shared" si="8"/>
        <v>45376</v>
      </c>
      <c r="H20" s="2">
        <f t="shared" si="9"/>
        <v>45398</v>
      </c>
      <c r="I20">
        <v>2</v>
      </c>
    </row>
    <row r="21" spans="2:9" x14ac:dyDescent="0.45">
      <c r="B21" s="6">
        <v>8</v>
      </c>
      <c r="C21" t="s">
        <v>18</v>
      </c>
      <c r="D21" s="2">
        <v>45398</v>
      </c>
      <c r="E21">
        <f t="shared" si="6"/>
        <v>4</v>
      </c>
      <c r="F21">
        <f t="shared" si="7"/>
        <v>2024</v>
      </c>
      <c r="G21" s="2">
        <f t="shared" si="8"/>
        <v>45443</v>
      </c>
      <c r="H21" s="2">
        <f t="shared" si="9"/>
        <v>45461</v>
      </c>
      <c r="I21">
        <v>2</v>
      </c>
    </row>
    <row r="22" spans="2:9" x14ac:dyDescent="0.45">
      <c r="B22" s="6">
        <v>9</v>
      </c>
      <c r="C22" t="s">
        <v>17</v>
      </c>
      <c r="D22" s="2">
        <v>45391</v>
      </c>
      <c r="E22">
        <f t="shared" si="6"/>
        <v>4</v>
      </c>
      <c r="F22">
        <f t="shared" si="7"/>
        <v>2024</v>
      </c>
      <c r="G22" s="2">
        <f t="shared" si="8"/>
        <v>45436</v>
      </c>
      <c r="H22" s="2">
        <f t="shared" si="9"/>
        <v>45454</v>
      </c>
      <c r="I22">
        <v>2</v>
      </c>
    </row>
    <row r="23" spans="2:9" x14ac:dyDescent="0.45">
      <c r="B23" s="6">
        <v>10</v>
      </c>
      <c r="C23" t="s">
        <v>16</v>
      </c>
      <c r="D23" s="2">
        <v>45402</v>
      </c>
      <c r="E23">
        <f t="shared" si="6"/>
        <v>4</v>
      </c>
      <c r="F23">
        <f t="shared" si="7"/>
        <v>2024</v>
      </c>
      <c r="G23" s="2">
        <f t="shared" si="8"/>
        <v>45447</v>
      </c>
      <c r="H23" s="2">
        <f t="shared" si="9"/>
        <v>45464</v>
      </c>
      <c r="I23">
        <v>5</v>
      </c>
    </row>
    <row r="25" spans="2:9" x14ac:dyDescent="0.45">
      <c r="B25" s="3" t="s">
        <v>15</v>
      </c>
      <c r="I25" s="2" t="str">
        <f ca="1">_xlfn.FORMULATEXT(I14)</f>
        <v>=DIASEM(H14:H23,2)</v>
      </c>
    </row>
    <row r="26" spans="2:9" x14ac:dyDescent="0.45">
      <c r="B26" s="2">
        <v>45292</v>
      </c>
    </row>
    <row r="27" spans="2:9" x14ac:dyDescent="0.45">
      <c r="B27" s="2">
        <v>45297</v>
      </c>
    </row>
    <row r="28" spans="2:9" x14ac:dyDescent="0.45">
      <c r="B28" s="2">
        <v>45379</v>
      </c>
    </row>
    <row r="29" spans="2:9" x14ac:dyDescent="0.45">
      <c r="B29" s="2">
        <v>45380</v>
      </c>
    </row>
    <row r="30" spans="2:9" x14ac:dyDescent="0.45">
      <c r="B30" s="2">
        <v>45498</v>
      </c>
    </row>
    <row r="31" spans="2:9" x14ac:dyDescent="0.45">
      <c r="B31" s="2">
        <v>45519</v>
      </c>
    </row>
    <row r="32" spans="2:9" x14ac:dyDescent="0.45">
      <c r="B32" s="2">
        <v>45577</v>
      </c>
    </row>
    <row r="33" spans="2:8" x14ac:dyDescent="0.45">
      <c r="B33" s="2">
        <v>45597</v>
      </c>
    </row>
    <row r="34" spans="2:8" x14ac:dyDescent="0.45">
      <c r="B34" s="2">
        <v>45605</v>
      </c>
    </row>
    <row r="35" spans="2:8" x14ac:dyDescent="0.45">
      <c r="B35" s="2">
        <v>45632</v>
      </c>
    </row>
    <row r="36" spans="2:8" x14ac:dyDescent="0.45">
      <c r="B36" s="2">
        <v>45634</v>
      </c>
    </row>
    <row r="37" spans="2:8" x14ac:dyDescent="0.45">
      <c r="B37" s="2">
        <v>45651</v>
      </c>
    </row>
    <row r="40" spans="2:8" x14ac:dyDescent="0.45">
      <c r="B40" t="s">
        <v>9</v>
      </c>
      <c r="C40" t="s">
        <v>10</v>
      </c>
      <c r="D40" t="s">
        <v>11</v>
      </c>
      <c r="E40" t="s">
        <v>31</v>
      </c>
      <c r="G40" t="s">
        <v>31</v>
      </c>
      <c r="H40" t="s">
        <v>32</v>
      </c>
    </row>
    <row r="41" spans="2:8" x14ac:dyDescent="0.45">
      <c r="B41">
        <v>1</v>
      </c>
      <c r="C41">
        <v>11</v>
      </c>
      <c r="D41">
        <v>2023</v>
      </c>
      <c r="E41" s="2">
        <f>DATE(D41,C41,B41)</f>
        <v>45231</v>
      </c>
      <c r="G41" s="2">
        <v>45231</v>
      </c>
      <c r="H41" s="2">
        <f>DATE(YEAR(G41),MONTH(G41)+2,28)</f>
        <v>45319</v>
      </c>
    </row>
    <row r="42" spans="2:8" x14ac:dyDescent="0.45">
      <c r="B42">
        <v>19</v>
      </c>
      <c r="C42">
        <v>9</v>
      </c>
      <c r="D42">
        <v>2023</v>
      </c>
      <c r="E42" s="2">
        <f t="shared" ref="E42:E48" si="10">DATE(D42,C42,B42)</f>
        <v>45188</v>
      </c>
      <c r="G42" s="2">
        <v>45188</v>
      </c>
      <c r="H42" s="2">
        <f t="shared" ref="H42:H48" si="11">DATE(YEAR(G42),MONTH(G42)+2,28)</f>
        <v>45258</v>
      </c>
    </row>
    <row r="43" spans="2:8" x14ac:dyDescent="0.45">
      <c r="B43">
        <v>7</v>
      </c>
      <c r="C43">
        <v>4</v>
      </c>
      <c r="D43">
        <v>2023</v>
      </c>
      <c r="E43" s="2">
        <f t="shared" si="10"/>
        <v>45023</v>
      </c>
      <c r="G43" s="2">
        <v>45023</v>
      </c>
      <c r="H43" s="2">
        <f t="shared" si="11"/>
        <v>45105</v>
      </c>
    </row>
    <row r="44" spans="2:8" x14ac:dyDescent="0.45">
      <c r="B44">
        <v>12</v>
      </c>
      <c r="C44">
        <v>4</v>
      </c>
      <c r="D44">
        <v>2023</v>
      </c>
      <c r="E44" s="2">
        <f t="shared" si="10"/>
        <v>45028</v>
      </c>
      <c r="G44" s="2">
        <v>45028</v>
      </c>
      <c r="H44" s="2">
        <f t="shared" si="11"/>
        <v>45105</v>
      </c>
    </row>
    <row r="45" spans="2:8" x14ac:dyDescent="0.45">
      <c r="B45">
        <v>28</v>
      </c>
      <c r="C45">
        <v>2</v>
      </c>
      <c r="D45">
        <v>2024</v>
      </c>
      <c r="E45" s="2">
        <f t="shared" si="10"/>
        <v>45350</v>
      </c>
      <c r="G45" s="2">
        <v>45350</v>
      </c>
      <c r="H45" s="2">
        <f t="shared" si="11"/>
        <v>45410</v>
      </c>
    </row>
    <row r="46" spans="2:8" x14ac:dyDescent="0.45">
      <c r="B46">
        <v>21</v>
      </c>
      <c r="C46">
        <v>5</v>
      </c>
      <c r="D46">
        <v>2023</v>
      </c>
      <c r="E46" s="2">
        <f t="shared" si="10"/>
        <v>45067</v>
      </c>
      <c r="G46" s="2">
        <v>45067</v>
      </c>
      <c r="H46" s="2">
        <f t="shared" si="11"/>
        <v>45135</v>
      </c>
    </row>
    <row r="47" spans="2:8" x14ac:dyDescent="0.45">
      <c r="B47">
        <v>1</v>
      </c>
      <c r="C47">
        <v>5</v>
      </c>
      <c r="D47">
        <v>2023</v>
      </c>
      <c r="E47" s="2">
        <f t="shared" si="10"/>
        <v>45047</v>
      </c>
      <c r="G47" s="2">
        <v>45047</v>
      </c>
      <c r="H47" s="2">
        <f t="shared" si="11"/>
        <v>45135</v>
      </c>
    </row>
    <row r="48" spans="2:8" x14ac:dyDescent="0.45">
      <c r="B48">
        <v>10</v>
      </c>
      <c r="C48">
        <v>6</v>
      </c>
      <c r="D48">
        <v>2024</v>
      </c>
      <c r="E48" s="2">
        <f t="shared" si="10"/>
        <v>45453</v>
      </c>
      <c r="G48" s="2">
        <v>45453</v>
      </c>
      <c r="H48" s="2">
        <f t="shared" si="11"/>
        <v>45532</v>
      </c>
    </row>
    <row r="50" spans="2:8" x14ac:dyDescent="0.45">
      <c r="E50" s="2" t="str">
        <f ca="1">_xlfn.FORMULATEXT(E41)</f>
        <v>=FECHA(D41,C41,B41)</v>
      </c>
      <c r="F50" s="2"/>
      <c r="G50" s="2"/>
      <c r="H50" s="2" t="str">
        <f ca="1">_xlfn.FORMULATEXT(H41)</f>
        <v>=FECHA(AÑO(G41),MES(G41)+2,28)</v>
      </c>
    </row>
    <row r="52" spans="2:8" x14ac:dyDescent="0.45">
      <c r="B52" s="4" t="s">
        <v>31</v>
      </c>
      <c r="C52" s="4" t="s">
        <v>33</v>
      </c>
      <c r="D52" s="4" t="s">
        <v>34</v>
      </c>
      <c r="E52" s="8" t="s">
        <v>35</v>
      </c>
      <c r="F52" s="4" t="s">
        <v>36</v>
      </c>
    </row>
    <row r="53" spans="2:8" x14ac:dyDescent="0.45">
      <c r="B53" s="2">
        <v>45231</v>
      </c>
      <c r="C53" s="2">
        <f>EOMONTH(B53,2)</f>
        <v>45322</v>
      </c>
      <c r="D53">
        <f>C53-B53</f>
        <v>91</v>
      </c>
      <c r="E53">
        <f xml:space="preserve"> NETWORKDAYS.INTL(B53,C53,1)</f>
        <v>66</v>
      </c>
      <c r="F53" s="2">
        <f ca="1">TODAY()</f>
        <v>46133</v>
      </c>
    </row>
    <row r="54" spans="2:8" x14ac:dyDescent="0.45">
      <c r="B54" s="2">
        <v>45188</v>
      </c>
      <c r="C54" s="2">
        <f t="shared" ref="C54:C60" si="12">EOMONTH(B54,2)</f>
        <v>45260</v>
      </c>
      <c r="D54">
        <f t="shared" ref="D54:D60" si="13">C54-B54</f>
        <v>72</v>
      </c>
      <c r="E54">
        <f t="shared" ref="E54:E60" si="14" xml:space="preserve"> NETWORKDAYS.INTL(B54,C54,1)</f>
        <v>53</v>
      </c>
      <c r="F54" s="2">
        <f ca="1">TODAY()</f>
        <v>46133</v>
      </c>
    </row>
    <row r="55" spans="2:8" x14ac:dyDescent="0.45">
      <c r="B55" s="2">
        <v>45023</v>
      </c>
      <c r="C55" s="2">
        <f t="shared" si="12"/>
        <v>45107</v>
      </c>
      <c r="D55">
        <f t="shared" si="13"/>
        <v>84</v>
      </c>
      <c r="E55">
        <f t="shared" si="14"/>
        <v>61</v>
      </c>
    </row>
    <row r="56" spans="2:8" x14ac:dyDescent="0.45">
      <c r="B56" s="2">
        <v>45028</v>
      </c>
      <c r="C56" s="2">
        <f t="shared" si="12"/>
        <v>45107</v>
      </c>
      <c r="D56">
        <f t="shared" si="13"/>
        <v>79</v>
      </c>
      <c r="E56">
        <f t="shared" si="14"/>
        <v>58</v>
      </c>
    </row>
    <row r="57" spans="2:8" x14ac:dyDescent="0.45">
      <c r="B57" s="2">
        <v>45350</v>
      </c>
      <c r="C57" s="2">
        <f t="shared" si="12"/>
        <v>45412</v>
      </c>
      <c r="D57">
        <f t="shared" si="13"/>
        <v>62</v>
      </c>
      <c r="E57">
        <f t="shared" si="14"/>
        <v>45</v>
      </c>
    </row>
    <row r="58" spans="2:8" x14ac:dyDescent="0.45">
      <c r="B58" s="2">
        <v>45067</v>
      </c>
      <c r="C58" s="2">
        <f t="shared" si="12"/>
        <v>45138</v>
      </c>
      <c r="D58">
        <f t="shared" si="13"/>
        <v>71</v>
      </c>
      <c r="E58">
        <f t="shared" si="14"/>
        <v>51</v>
      </c>
    </row>
    <row r="59" spans="2:8" x14ac:dyDescent="0.45">
      <c r="B59" s="2">
        <v>45047</v>
      </c>
      <c r="C59" s="2">
        <f t="shared" si="12"/>
        <v>45138</v>
      </c>
      <c r="D59">
        <f t="shared" si="13"/>
        <v>91</v>
      </c>
      <c r="E59">
        <f t="shared" si="14"/>
        <v>66</v>
      </c>
    </row>
    <row r="60" spans="2:8" x14ac:dyDescent="0.45">
      <c r="B60" s="2">
        <v>45453</v>
      </c>
      <c r="C60" s="2">
        <f t="shared" si="12"/>
        <v>45535</v>
      </c>
      <c r="D60">
        <f t="shared" si="13"/>
        <v>82</v>
      </c>
      <c r="E60">
        <f t="shared" si="14"/>
        <v>60</v>
      </c>
    </row>
    <row r="61" spans="2:8" x14ac:dyDescent="0.45">
      <c r="C61" s="2"/>
    </row>
    <row r="62" spans="2:8" x14ac:dyDescent="0.45">
      <c r="B62" s="2" t="s">
        <v>37</v>
      </c>
      <c r="C62" t="s">
        <v>31</v>
      </c>
      <c r="D62" t="s">
        <v>38</v>
      </c>
      <c r="E62" t="s">
        <v>39</v>
      </c>
      <c r="F62" t="s">
        <v>40</v>
      </c>
      <c r="G62" t="s">
        <v>41</v>
      </c>
    </row>
    <row r="63" spans="2:8" x14ac:dyDescent="0.45">
      <c r="B63" s="2">
        <v>1</v>
      </c>
      <c r="C63" s="2">
        <v>45231</v>
      </c>
      <c r="D63" t="str">
        <f>TEXT(C63,"D")</f>
        <v>1</v>
      </c>
      <c r="E63" t="str">
        <f>TEXT(C63,"DD")</f>
        <v>01</v>
      </c>
      <c r="F63" t="str">
        <f>TEXT(C63,"DDD")</f>
        <v>mié</v>
      </c>
      <c r="G63" t="str">
        <f>TEXT(C63,"DDDD")</f>
        <v>miércoles</v>
      </c>
    </row>
    <row r="64" spans="2:8" x14ac:dyDescent="0.45">
      <c r="B64" s="2">
        <v>2</v>
      </c>
      <c r="C64" s="2">
        <v>45188</v>
      </c>
      <c r="D64" t="str">
        <f t="shared" ref="D64:D70" si="15">TEXT(B64,"D")</f>
        <v>2</v>
      </c>
      <c r="E64" t="str">
        <f t="shared" ref="E64:E70" si="16">TEXT(C64,"DD")</f>
        <v>19</v>
      </c>
      <c r="F64" t="str">
        <f>TEXT(C64,"DDD")</f>
        <v>mar</v>
      </c>
      <c r="G64" t="str">
        <f t="shared" ref="G64:G70" si="17">TEXT(C64,"DDDD")</f>
        <v>martes</v>
      </c>
    </row>
    <row r="65" spans="2:7" x14ac:dyDescent="0.45">
      <c r="B65" s="2">
        <v>3</v>
      </c>
      <c r="C65" s="2">
        <v>45023</v>
      </c>
      <c r="D65" t="str">
        <f t="shared" si="15"/>
        <v>3</v>
      </c>
      <c r="E65" t="str">
        <f t="shared" si="16"/>
        <v>07</v>
      </c>
      <c r="F65" t="str">
        <f t="shared" ref="F65:F70" si="18">TEXT(C65,"DDD")</f>
        <v>vie</v>
      </c>
      <c r="G65" t="str">
        <f t="shared" si="17"/>
        <v>viernes</v>
      </c>
    </row>
    <row r="66" spans="2:7" x14ac:dyDescent="0.45">
      <c r="B66" s="2">
        <v>4</v>
      </c>
      <c r="C66" s="2">
        <v>45028</v>
      </c>
      <c r="D66" t="str">
        <f t="shared" si="15"/>
        <v>4</v>
      </c>
      <c r="E66" t="str">
        <f t="shared" si="16"/>
        <v>12</v>
      </c>
      <c r="F66" t="str">
        <f t="shared" si="18"/>
        <v>mié</v>
      </c>
      <c r="G66" t="str">
        <f t="shared" si="17"/>
        <v>miércoles</v>
      </c>
    </row>
    <row r="67" spans="2:7" x14ac:dyDescent="0.45">
      <c r="B67">
        <v>5</v>
      </c>
      <c r="C67" s="2">
        <v>45350</v>
      </c>
      <c r="D67" t="str">
        <f t="shared" si="15"/>
        <v>5</v>
      </c>
      <c r="E67" t="str">
        <f t="shared" si="16"/>
        <v>28</v>
      </c>
      <c r="F67" t="str">
        <f t="shared" si="18"/>
        <v>mié</v>
      </c>
      <c r="G67" t="str">
        <f t="shared" si="17"/>
        <v>miércoles</v>
      </c>
    </row>
    <row r="68" spans="2:7" x14ac:dyDescent="0.45">
      <c r="B68">
        <v>6</v>
      </c>
      <c r="C68" s="2">
        <v>45067</v>
      </c>
      <c r="D68" t="str">
        <f t="shared" si="15"/>
        <v>6</v>
      </c>
      <c r="E68" t="str">
        <f t="shared" si="16"/>
        <v>21</v>
      </c>
      <c r="F68" t="str">
        <f t="shared" si="18"/>
        <v>dom</v>
      </c>
      <c r="G68" t="str">
        <f t="shared" si="17"/>
        <v>domingo</v>
      </c>
    </row>
    <row r="69" spans="2:7" x14ac:dyDescent="0.45">
      <c r="B69">
        <v>7</v>
      </c>
      <c r="C69" s="2">
        <v>45047</v>
      </c>
      <c r="D69" t="str">
        <f t="shared" si="15"/>
        <v>7</v>
      </c>
      <c r="E69" t="str">
        <f t="shared" si="16"/>
        <v>01</v>
      </c>
      <c r="F69" t="str">
        <f t="shared" si="18"/>
        <v>lun</v>
      </c>
      <c r="G69" t="str">
        <f t="shared" si="17"/>
        <v>lunes</v>
      </c>
    </row>
    <row r="70" spans="2:7" x14ac:dyDescent="0.45">
      <c r="B70">
        <v>8</v>
      </c>
      <c r="C70" s="2">
        <v>45453</v>
      </c>
      <c r="D70" t="str">
        <f t="shared" si="15"/>
        <v>8</v>
      </c>
      <c r="E70" t="str">
        <f t="shared" si="16"/>
        <v>10</v>
      </c>
      <c r="F70" t="str">
        <f t="shared" si="18"/>
        <v>lun</v>
      </c>
      <c r="G70" t="str">
        <f t="shared" si="17"/>
        <v>lunes</v>
      </c>
    </row>
    <row r="71" spans="2:7" x14ac:dyDescent="0.45">
      <c r="D71" t="str">
        <f ca="1">_xlfn.FORMULATEXT(D63)</f>
        <v>=TEXTO(C63,"D")</v>
      </c>
      <c r="E71" t="str">
        <f t="shared" ref="E71:G71" ca="1" si="19">_xlfn.FORMULATEXT(E63)</f>
        <v>=TEXTO(C63,"DD")</v>
      </c>
      <c r="F71" t="str">
        <f t="shared" ca="1" si="19"/>
        <v>=TEXTO(C63,"DDD")</v>
      </c>
      <c r="G71" t="str">
        <f t="shared" ca="1" si="19"/>
        <v>=TEXTO(C63,"DDDD")</v>
      </c>
    </row>
    <row r="73" spans="2:7" x14ac:dyDescent="0.45">
      <c r="C73" t="s">
        <v>31</v>
      </c>
      <c r="D73" t="s">
        <v>42</v>
      </c>
      <c r="E73" t="s">
        <v>43</v>
      </c>
      <c r="F73" t="s">
        <v>44</v>
      </c>
      <c r="G73" t="s">
        <v>45</v>
      </c>
    </row>
    <row r="74" spans="2:7" x14ac:dyDescent="0.45">
      <c r="C74" s="2">
        <v>45231</v>
      </c>
      <c r="D74" t="str">
        <f t="shared" ref="D74:D81" si="20">TEXT(C74,"M")</f>
        <v>11</v>
      </c>
      <c r="E74" t="str">
        <f t="shared" ref="E74:E81" si="21">TEXT(C74,"mm")</f>
        <v>11</v>
      </c>
      <c r="F74" t="str">
        <f t="shared" ref="F74:F81" si="22">TEXT(C74,"mMm")</f>
        <v>nov</v>
      </c>
      <c r="G74" t="str">
        <f t="shared" ref="G74:G81" si="23">TEXT(C74,"mmMM")</f>
        <v>noviembre</v>
      </c>
    </row>
    <row r="75" spans="2:7" x14ac:dyDescent="0.45">
      <c r="C75" s="2">
        <v>45188</v>
      </c>
      <c r="D75" t="str">
        <f t="shared" si="20"/>
        <v>9</v>
      </c>
      <c r="E75" t="str">
        <f t="shared" si="21"/>
        <v>09</v>
      </c>
      <c r="F75" t="str">
        <f t="shared" si="22"/>
        <v>sep</v>
      </c>
      <c r="G75" t="str">
        <f t="shared" si="23"/>
        <v>septiembre</v>
      </c>
    </row>
    <row r="76" spans="2:7" x14ac:dyDescent="0.45">
      <c r="C76" s="2">
        <v>45023</v>
      </c>
      <c r="D76" t="str">
        <f t="shared" si="20"/>
        <v>4</v>
      </c>
      <c r="E76" t="str">
        <f t="shared" si="21"/>
        <v>04</v>
      </c>
      <c r="F76" t="str">
        <f t="shared" si="22"/>
        <v>abr</v>
      </c>
      <c r="G76" t="str">
        <f t="shared" si="23"/>
        <v>abril</v>
      </c>
    </row>
    <row r="77" spans="2:7" x14ac:dyDescent="0.45">
      <c r="C77" s="2">
        <v>45028</v>
      </c>
      <c r="D77" t="str">
        <f t="shared" si="20"/>
        <v>4</v>
      </c>
      <c r="E77" t="str">
        <f t="shared" si="21"/>
        <v>04</v>
      </c>
      <c r="F77" t="str">
        <f t="shared" si="22"/>
        <v>abr</v>
      </c>
      <c r="G77" t="str">
        <f t="shared" si="23"/>
        <v>abril</v>
      </c>
    </row>
    <row r="78" spans="2:7" x14ac:dyDescent="0.45">
      <c r="C78" s="2">
        <v>45350</v>
      </c>
      <c r="D78" t="str">
        <f t="shared" si="20"/>
        <v>2</v>
      </c>
      <c r="E78" t="str">
        <f t="shared" si="21"/>
        <v>02</v>
      </c>
      <c r="F78" t="str">
        <f t="shared" si="22"/>
        <v>feb</v>
      </c>
      <c r="G78" t="str">
        <f t="shared" si="23"/>
        <v>febrero</v>
      </c>
    </row>
    <row r="79" spans="2:7" x14ac:dyDescent="0.45">
      <c r="C79" s="2">
        <v>45067</v>
      </c>
      <c r="D79" t="str">
        <f t="shared" si="20"/>
        <v>5</v>
      </c>
      <c r="E79" t="str">
        <f t="shared" si="21"/>
        <v>05</v>
      </c>
      <c r="F79" t="str">
        <f t="shared" si="22"/>
        <v>may</v>
      </c>
      <c r="G79" t="str">
        <f t="shared" si="23"/>
        <v>mayo</v>
      </c>
    </row>
    <row r="80" spans="2:7" x14ac:dyDescent="0.45">
      <c r="C80" s="2">
        <v>45047</v>
      </c>
      <c r="D80" t="str">
        <f t="shared" si="20"/>
        <v>5</v>
      </c>
      <c r="E80" t="str">
        <f t="shared" si="21"/>
        <v>05</v>
      </c>
      <c r="F80" t="str">
        <f t="shared" si="22"/>
        <v>may</v>
      </c>
      <c r="G80" t="str">
        <f t="shared" si="23"/>
        <v>mayo</v>
      </c>
    </row>
    <row r="81" spans="1:12" x14ac:dyDescent="0.45">
      <c r="C81" s="2">
        <v>45453</v>
      </c>
      <c r="D81" t="str">
        <f t="shared" si="20"/>
        <v>6</v>
      </c>
      <c r="E81" t="str">
        <f t="shared" si="21"/>
        <v>06</v>
      </c>
      <c r="F81" t="str">
        <f t="shared" si="22"/>
        <v>jun</v>
      </c>
      <c r="G81" t="str">
        <f t="shared" si="23"/>
        <v>junio</v>
      </c>
    </row>
    <row r="82" spans="1:12" x14ac:dyDescent="0.45">
      <c r="D82" t="str">
        <f ca="1">_xlfn.FORMULATEXT(D74)</f>
        <v>=TEXTO(C74,"M")</v>
      </c>
      <c r="E82" t="str">
        <f t="shared" ref="E82:G82" ca="1" si="24">_xlfn.FORMULATEXT(E74)</f>
        <v>=TEXTO(C74,"mm")</v>
      </c>
      <c r="F82" t="str">
        <f t="shared" ca="1" si="24"/>
        <v>=TEXTO(C74,"mMm")</v>
      </c>
      <c r="G82" t="str">
        <f t="shared" ca="1" si="24"/>
        <v>=TEXTO(C74,"mmMM")</v>
      </c>
    </row>
    <row r="84" spans="1:12" x14ac:dyDescent="0.45">
      <c r="B84" s="2" t="s">
        <v>37</v>
      </c>
      <c r="C84" t="s">
        <v>31</v>
      </c>
      <c r="D84" t="s">
        <v>46</v>
      </c>
      <c r="E84" t="s">
        <v>47</v>
      </c>
      <c r="F84" s="2" t="s">
        <v>37</v>
      </c>
      <c r="G84" t="s">
        <v>48</v>
      </c>
    </row>
    <row r="85" spans="1:12" x14ac:dyDescent="0.45">
      <c r="B85" s="2">
        <v>1</v>
      </c>
      <c r="C85" s="2">
        <v>45231</v>
      </c>
      <c r="D85" t="str">
        <f>TEXT(C85,"AA")</f>
        <v>23</v>
      </c>
      <c r="E85" t="str">
        <f>TEXT(C85,"AAAA")</f>
        <v>2023</v>
      </c>
      <c r="F85">
        <v>1</v>
      </c>
      <c r="G85" t="str">
        <f>TEXT(F85,"00")</f>
        <v>01</v>
      </c>
    </row>
    <row r="86" spans="1:12" x14ac:dyDescent="0.45">
      <c r="B86" s="2">
        <v>2</v>
      </c>
      <c r="C86" s="2">
        <v>45188</v>
      </c>
      <c r="D86" t="str">
        <f t="shared" ref="D86:D92" si="25">TEXT(C86,"AA")</f>
        <v>23</v>
      </c>
      <c r="E86" t="str">
        <f t="shared" ref="E86:E92" si="26">TEXT(C86,"AAAA")</f>
        <v>2023</v>
      </c>
      <c r="F86">
        <v>2</v>
      </c>
      <c r="G86" t="str">
        <f t="shared" ref="G86:G92" si="27">TEXT(F86,"00")</f>
        <v>02</v>
      </c>
    </row>
    <row r="87" spans="1:12" x14ac:dyDescent="0.45">
      <c r="B87" s="2">
        <v>3</v>
      </c>
      <c r="C87" s="2">
        <v>45023</v>
      </c>
      <c r="D87" t="str">
        <f t="shared" si="25"/>
        <v>23</v>
      </c>
      <c r="E87" t="str">
        <f t="shared" si="26"/>
        <v>2023</v>
      </c>
      <c r="F87">
        <v>3</v>
      </c>
      <c r="G87" t="str">
        <f t="shared" si="27"/>
        <v>03</v>
      </c>
    </row>
    <row r="88" spans="1:12" x14ac:dyDescent="0.45">
      <c r="B88" s="2">
        <v>4</v>
      </c>
      <c r="C88" s="2">
        <v>45028</v>
      </c>
      <c r="D88" t="str">
        <f t="shared" si="25"/>
        <v>23</v>
      </c>
      <c r="E88" t="str">
        <f t="shared" si="26"/>
        <v>2023</v>
      </c>
      <c r="F88">
        <v>4</v>
      </c>
      <c r="G88" t="str">
        <f t="shared" si="27"/>
        <v>04</v>
      </c>
    </row>
    <row r="89" spans="1:12" x14ac:dyDescent="0.45">
      <c r="B89">
        <v>5</v>
      </c>
      <c r="C89" s="2">
        <v>45350</v>
      </c>
      <c r="D89" t="str">
        <f t="shared" si="25"/>
        <v>24</v>
      </c>
      <c r="E89" t="str">
        <f t="shared" si="26"/>
        <v>2024</v>
      </c>
      <c r="F89">
        <v>5</v>
      </c>
      <c r="G89" t="str">
        <f t="shared" si="27"/>
        <v>05</v>
      </c>
    </row>
    <row r="90" spans="1:12" x14ac:dyDescent="0.45">
      <c r="B90">
        <v>6</v>
      </c>
      <c r="C90" s="2">
        <v>45067</v>
      </c>
      <c r="D90" t="str">
        <f t="shared" si="25"/>
        <v>23</v>
      </c>
      <c r="E90" t="str">
        <f t="shared" si="26"/>
        <v>2023</v>
      </c>
      <c r="F90">
        <v>6</v>
      </c>
      <c r="G90" t="str">
        <f t="shared" si="27"/>
        <v>06</v>
      </c>
    </row>
    <row r="91" spans="1:12" x14ac:dyDescent="0.45">
      <c r="B91">
        <v>7</v>
      </c>
      <c r="C91" s="2">
        <v>45047</v>
      </c>
      <c r="D91" t="str">
        <f t="shared" si="25"/>
        <v>23</v>
      </c>
      <c r="E91" t="str">
        <f t="shared" si="26"/>
        <v>2023</v>
      </c>
      <c r="F91">
        <v>7</v>
      </c>
      <c r="G91" t="str">
        <f t="shared" si="27"/>
        <v>07</v>
      </c>
    </row>
    <row r="92" spans="1:12" x14ac:dyDescent="0.45">
      <c r="B92">
        <v>8</v>
      </c>
      <c r="C92" s="2">
        <v>45453</v>
      </c>
      <c r="D92" t="str">
        <f t="shared" si="25"/>
        <v>24</v>
      </c>
      <c r="E92" t="str">
        <f t="shared" si="26"/>
        <v>2024</v>
      </c>
      <c r="F92">
        <v>8</v>
      </c>
      <c r="G92" t="str">
        <f t="shared" si="27"/>
        <v>08</v>
      </c>
    </row>
    <row r="93" spans="1:12" x14ac:dyDescent="0.45">
      <c r="D93" t="str">
        <f t="shared" ref="D93:G93" ca="1" si="28">_xlfn.FORMULATEXT(D85)</f>
        <v>=TEXTO(C85,"AA")</v>
      </c>
      <c r="E93" t="str">
        <f t="shared" ca="1" si="28"/>
        <v>=TEXTO(C85,"AAAA")</v>
      </c>
      <c r="G93" t="str">
        <f t="shared" ca="1" si="28"/>
        <v>=TEXTO(F85,"00")</v>
      </c>
    </row>
    <row r="96" spans="1:12" x14ac:dyDescent="0.45">
      <c r="A96" s="11" t="s">
        <v>67</v>
      </c>
      <c r="B96" s="11" t="s">
        <v>66</v>
      </c>
      <c r="C96" s="11" t="s">
        <v>65</v>
      </c>
      <c r="D96" s="11" t="s">
        <v>64</v>
      </c>
      <c r="E96" s="11" t="s">
        <v>63</v>
      </c>
      <c r="F96" s="11" t="s">
        <v>62</v>
      </c>
      <c r="G96" s="11" t="s">
        <v>61</v>
      </c>
      <c r="H96" s="11" t="s">
        <v>60</v>
      </c>
      <c r="I96" s="11" t="s">
        <v>59</v>
      </c>
      <c r="J96" s="11"/>
      <c r="K96" s="11"/>
      <c r="L96" s="1" t="s">
        <v>15</v>
      </c>
    </row>
    <row r="97" spans="1:12" x14ac:dyDescent="0.45">
      <c r="A97">
        <v>1</v>
      </c>
      <c r="B97" t="s">
        <v>58</v>
      </c>
      <c r="C97" s="9">
        <v>45710</v>
      </c>
      <c r="D97" s="9">
        <f>DATE(YEAR(C97),MONTH(C97)+2,15)</f>
        <v>45762</v>
      </c>
      <c r="E97" s="9">
        <v>45764</v>
      </c>
      <c r="F97" s="10">
        <f>E97-D97</f>
        <v>2</v>
      </c>
      <c r="G97" s="10">
        <f ca="1">NETWORKDAYS.INTL(C97,TODAY(),1,$L$97:$L$100)</f>
        <v>300</v>
      </c>
      <c r="H97" t="str">
        <f>TEXT(D97,"dddd")</f>
        <v>martes</v>
      </c>
      <c r="I97" t="str">
        <f>TEXT(A97,"dd")</f>
        <v>01</v>
      </c>
      <c r="L97" s="2">
        <v>45658</v>
      </c>
    </row>
    <row r="98" spans="1:12" x14ac:dyDescent="0.45">
      <c r="A98">
        <v>2</v>
      </c>
      <c r="B98" t="s">
        <v>57</v>
      </c>
      <c r="C98" s="9">
        <v>45709</v>
      </c>
      <c r="D98" s="9">
        <f>DATE(YEAR(C98),MONTH(C98)+2,15)</f>
        <v>45762</v>
      </c>
      <c r="E98" s="9">
        <v>45762</v>
      </c>
      <c r="F98" s="10">
        <f>E98-D98</f>
        <v>0</v>
      </c>
      <c r="G98" s="10">
        <f ca="1">NETWORKDAYS.INTL(C98,TODAY(),1,$L$97:$L$100)</f>
        <v>301</v>
      </c>
      <c r="H98" t="str">
        <f>TEXT(D98,"dddd")</f>
        <v>martes</v>
      </c>
      <c r="I98" t="str">
        <f>TEXT(A98,"dd")</f>
        <v>02</v>
      </c>
      <c r="L98" s="2">
        <v>45663</v>
      </c>
    </row>
    <row r="99" spans="1:12" x14ac:dyDescent="0.45">
      <c r="A99">
        <v>3</v>
      </c>
      <c r="B99" t="s">
        <v>56</v>
      </c>
      <c r="C99" s="9">
        <v>45718</v>
      </c>
      <c r="D99" s="9">
        <f>DATE(YEAR(C99),MONTH(C99)+2,15)</f>
        <v>45792</v>
      </c>
      <c r="E99" s="9">
        <v>45792</v>
      </c>
      <c r="F99" s="10">
        <f>E99-D99</f>
        <v>0</v>
      </c>
      <c r="G99" s="10">
        <f ca="1">NETWORKDAYS.INTL(C99,TODAY(),1,$L$97:$L$100)</f>
        <v>296</v>
      </c>
      <c r="H99" t="str">
        <f>TEXT(D99,"dddd")</f>
        <v>jueves</v>
      </c>
      <c r="I99" t="str">
        <f>TEXT(A99,"dd")</f>
        <v>03</v>
      </c>
      <c r="L99" s="2">
        <v>45716</v>
      </c>
    </row>
    <row r="100" spans="1:12" x14ac:dyDescent="0.45">
      <c r="A100">
        <v>4</v>
      </c>
      <c r="B100" t="s">
        <v>55</v>
      </c>
      <c r="C100" s="9">
        <v>45710</v>
      </c>
      <c r="D100" s="9">
        <f>DATE(YEAR(C100),MONTH(C100)+2,15)</f>
        <v>45762</v>
      </c>
      <c r="E100" s="9">
        <v>45759</v>
      </c>
      <c r="F100" s="10">
        <f>E100-D100</f>
        <v>-3</v>
      </c>
      <c r="G100" s="10">
        <f ca="1">NETWORKDAYS.INTL(C100,TODAY(),1,$L$97:$L$100)</f>
        <v>300</v>
      </c>
      <c r="H100" t="str">
        <f>TEXT(D100,"dddd")</f>
        <v>martes</v>
      </c>
      <c r="I100" t="str">
        <f>TEXT(A100,"dd")</f>
        <v>04</v>
      </c>
      <c r="L100" s="2">
        <v>45735</v>
      </c>
    </row>
    <row r="101" spans="1:12" x14ac:dyDescent="0.45">
      <c r="A101">
        <v>5</v>
      </c>
      <c r="B101" t="s">
        <v>54</v>
      </c>
      <c r="C101" s="9">
        <v>45701</v>
      </c>
      <c r="D101" s="9">
        <f>DATE(YEAR(C101),MONTH(C101)+2,15)</f>
        <v>45762</v>
      </c>
      <c r="E101" s="9">
        <v>45760</v>
      </c>
      <c r="F101" s="10">
        <f>E101-D101</f>
        <v>-2</v>
      </c>
      <c r="G101" s="10">
        <f ca="1">NETWORKDAYS.INTL(C101,TODAY(),1,$L$97:$L$100)</f>
        <v>307</v>
      </c>
      <c r="H101" t="str">
        <f>TEXT(D101,"dddd")</f>
        <v>martes</v>
      </c>
      <c r="I101" t="str">
        <f>TEXT(A101,"dd")</f>
        <v>05</v>
      </c>
    </row>
    <row r="102" spans="1:12" x14ac:dyDescent="0.45">
      <c r="A102">
        <v>6</v>
      </c>
      <c r="B102" t="s">
        <v>53</v>
      </c>
      <c r="C102" s="9">
        <v>45721</v>
      </c>
      <c r="D102" s="9">
        <f>DATE(YEAR(C102),MONTH(C102)+2,15)</f>
        <v>45792</v>
      </c>
      <c r="E102" s="9">
        <v>45793</v>
      </c>
      <c r="F102" s="10">
        <f>E102-D102</f>
        <v>1</v>
      </c>
      <c r="G102" s="10">
        <f ca="1">NETWORKDAYS.INTL(C102,TODAY(),1,$L$97:$L$100)</f>
        <v>294</v>
      </c>
      <c r="H102" t="str">
        <f>TEXT(D102,"dddd")</f>
        <v>jueves</v>
      </c>
      <c r="I102" t="str">
        <f>TEXT(A102,"dd")</f>
        <v>06</v>
      </c>
    </row>
    <row r="103" spans="1:12" x14ac:dyDescent="0.45">
      <c r="A103">
        <v>7</v>
      </c>
      <c r="B103" t="s">
        <v>52</v>
      </c>
      <c r="C103" s="9">
        <v>45659</v>
      </c>
      <c r="D103" s="9">
        <f>DATE(YEAR(C103),MONTH(C103)+2,15)</f>
        <v>45731</v>
      </c>
      <c r="E103" s="9">
        <v>45736</v>
      </c>
      <c r="F103" s="10">
        <f>E103-D103</f>
        <v>5</v>
      </c>
      <c r="G103" s="10">
        <f ca="1">NETWORKDAYS.INTL(C103,TODAY(),1,$L$97:$L$100)</f>
        <v>336</v>
      </c>
      <c r="H103" t="str">
        <f>TEXT(D103,"dddd")</f>
        <v>sábado</v>
      </c>
      <c r="I103" t="str">
        <f>TEXT(A103,"dd")</f>
        <v>07</v>
      </c>
    </row>
    <row r="104" spans="1:12" x14ac:dyDescent="0.45">
      <c r="A104">
        <v>8</v>
      </c>
      <c r="B104" t="s">
        <v>51</v>
      </c>
      <c r="C104" s="9">
        <v>45699</v>
      </c>
      <c r="D104" s="9">
        <f>DATE(YEAR(C104),MONTH(C104)+2,15)</f>
        <v>45762</v>
      </c>
      <c r="E104" s="9">
        <v>45762</v>
      </c>
      <c r="F104" s="10">
        <f>E104-D104</f>
        <v>0</v>
      </c>
      <c r="G104" s="10">
        <f ca="1">NETWORKDAYS.INTL(C104,TODAY(),1,$L$97:$L$100)</f>
        <v>309</v>
      </c>
      <c r="H104" t="str">
        <f>TEXT(D104,"dddd")</f>
        <v>martes</v>
      </c>
      <c r="I104" t="str">
        <f>TEXT(A104,"dd")</f>
        <v>08</v>
      </c>
    </row>
    <row r="105" spans="1:12" x14ac:dyDescent="0.45">
      <c r="A105">
        <v>9</v>
      </c>
      <c r="B105" t="s">
        <v>50</v>
      </c>
      <c r="C105" s="9">
        <v>45663</v>
      </c>
      <c r="D105" s="9">
        <f>DATE(YEAR(C105),MONTH(C105)+2,15)</f>
        <v>45731</v>
      </c>
      <c r="E105" s="9">
        <v>45731</v>
      </c>
      <c r="F105" s="10">
        <f>E105-D105</f>
        <v>0</v>
      </c>
      <c r="G105" s="10">
        <f ca="1">NETWORKDAYS.INTL(C105,TODAY(),1,$L$97:$L$100)</f>
        <v>334</v>
      </c>
      <c r="H105" t="str">
        <f>TEXT(D105,"dddd")</f>
        <v>sábado</v>
      </c>
      <c r="I105" t="str">
        <f>TEXT(A105,"dd")</f>
        <v>09</v>
      </c>
    </row>
    <row r="106" spans="1:12" x14ac:dyDescent="0.45">
      <c r="A106">
        <v>10</v>
      </c>
      <c r="B106" t="s">
        <v>49</v>
      </c>
      <c r="C106" s="9">
        <v>45682</v>
      </c>
      <c r="D106" s="9">
        <f>DATE(YEAR(C106),MONTH(C106)+2,15)</f>
        <v>45731</v>
      </c>
      <c r="E106" s="9">
        <v>45726</v>
      </c>
      <c r="F106" s="10">
        <f>E106-D106</f>
        <v>-5</v>
      </c>
      <c r="G106" s="10">
        <f ca="1">NETWORKDAYS.INTL(C106,TODAY(),1,$L$97:$L$100)</f>
        <v>320</v>
      </c>
      <c r="H106" t="str">
        <f>TEXT(D106,"dddd")</f>
        <v>sábado</v>
      </c>
      <c r="I106" t="str">
        <f>TEXT(A106,"dd")</f>
        <v>10</v>
      </c>
    </row>
    <row r="108" spans="1:12" x14ac:dyDescent="0.45">
      <c r="D108" s="9" t="str">
        <f ca="1">_xlfn.FORMULATEXT(D97)</f>
        <v>=FECHA(AÑO(C97),MES(C97)+2,15)</v>
      </c>
      <c r="E108" s="9"/>
      <c r="F108" s="9" t="str">
        <f ca="1">_xlfn.FORMULATEXT(F97)</f>
        <v>=E97-D97</v>
      </c>
      <c r="G108" s="9" t="str">
        <f ca="1">_xlfn.FORMULATEXT(G97)</f>
        <v>=DIAS.LAB.INTL(C97,HOY(),1,$L$97:$L$100)</v>
      </c>
      <c r="H108" s="9" t="str">
        <f ca="1">_xlfn.FORMULATEXT(H97)</f>
        <v>=TEXTO(D97,"dddd")</v>
      </c>
      <c r="I108" s="9" t="str">
        <f ca="1">_xlfn.FORMULATEXT(I97)</f>
        <v>=TEXTO(A97,"dd")</v>
      </c>
      <c r="J108" s="9"/>
      <c r="K108" s="9"/>
      <c r="L10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Carolina Carrera</cp:lastModifiedBy>
  <cp:revision/>
  <dcterms:created xsi:type="dcterms:W3CDTF">2011-06-05T18:24:31Z</dcterms:created>
  <dcterms:modified xsi:type="dcterms:W3CDTF">2026-04-21T16:11:08Z</dcterms:modified>
  <cp:category/>
  <cp:contentStatus/>
</cp:coreProperties>
</file>