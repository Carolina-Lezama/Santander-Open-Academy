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i\Downloads\"/>
    </mc:Choice>
  </mc:AlternateContent>
  <xr:revisionPtr revIDLastSave="0" documentId="13_ncr:1_{8BA3C2DE-A4B8-4786-A44D-A33C14895FAE}" xr6:coauthVersionLast="47" xr6:coauthVersionMax="47" xr10:uidLastSave="{00000000-0000-0000-0000-000000000000}"/>
  <bookViews>
    <workbookView xWindow="-98" yWindow="-98" windowWidth="21795" windowHeight="12975" activeTab="1" xr2:uid="{89E999AA-6E4B-4B8D-BDAC-782C14CC87BB}"/>
  </bookViews>
  <sheets>
    <sheet name="FACTURAS" sheetId="1" r:id="rId1"/>
    <sheet name="EJERCICIO" sheetId="2" r:id="rId2"/>
  </sheets>
  <definedNames>
    <definedName name="_xlnm._FilterDatabase" localSheetId="0" hidden="1">FACTURAS!$A$1:$G$779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  <c r="F16" i="2"/>
  <c r="G6" i="2"/>
  <c r="G7" i="2"/>
  <c r="G8" i="2"/>
  <c r="G9" i="2"/>
  <c r="G10" i="2"/>
  <c r="G11" i="2"/>
  <c r="G12" i="2"/>
  <c r="G13" i="2"/>
  <c r="G14" i="2"/>
  <c r="G5" i="2"/>
  <c r="B5" i="2"/>
  <c r="B6" i="2"/>
  <c r="B7" i="2"/>
  <c r="B8" i="2"/>
  <c r="B9" i="2"/>
  <c r="B4" i="2"/>
  <c r="F6" i="2"/>
  <c r="F7" i="2"/>
  <c r="F8" i="2"/>
  <c r="F9" i="2"/>
  <c r="F10" i="2"/>
  <c r="F11" i="2"/>
  <c r="F12" i="2"/>
  <c r="F13" i="2"/>
  <c r="F14" i="2"/>
  <c r="F5" i="2"/>
  <c r="B11" i="2"/>
</calcChain>
</file>

<file path=xl/sharedStrings.xml><?xml version="1.0" encoding="utf-8"?>
<sst xmlns="http://schemas.openxmlformats.org/spreadsheetml/2006/main" count="3146" uniqueCount="31">
  <si>
    <t>NUMERO</t>
  </si>
  <si>
    <t>CONCEPTO</t>
  </si>
  <si>
    <t>CLIENTE</t>
  </si>
  <si>
    <t>PROVINCIA</t>
  </si>
  <si>
    <t>IMPORTE</t>
  </si>
  <si>
    <t>FECHA</t>
  </si>
  <si>
    <t>PAGADA</t>
  </si>
  <si>
    <t>DESARROLLO</t>
  </si>
  <si>
    <t>CLIENTE-0004</t>
  </si>
  <si>
    <t>MADRID</t>
  </si>
  <si>
    <t>SI</t>
  </si>
  <si>
    <t>PROYECTO</t>
  </si>
  <si>
    <t>CLIENTE-0005</t>
  </si>
  <si>
    <t>BARCELONA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</si>
  <si>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</si>
  <si>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</si>
  <si>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</si>
  <si>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</si>
  <si>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</si>
  <si>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</si>
  <si>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</si>
  <si>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</si>
  <si>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</si>
  <si>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</si>
  <si>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</si>
  <si>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</si>
  <si>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</si>
  <si>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</si>
  <si>
    <t>TOTAL FACTURAS</t>
  </si>
  <si>
    <t>TOTAL IMPORTE</t>
  </si>
  <si>
    <t>MEDIA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</si>
</sst>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64" formatCode="_-* #,##0.00\ &quot;€&quot;_-;\-* #,##0.00\ &quot;€&quot;_-;_-* &quot;-&quot;??\ &quot;€&quot;_-;_-@_-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CCC7E-99A5-4F08-B363-491BCBC695B9}" name="T_FACTURAS" displayName="T_FACTURAS" ref="A1:G779" headerRowDxfId="8">
  <autoFilter ref="A1:G779" xr:uid="{A4B78BC7-81F2-4ED8-B277-62E71824D006}"/>
  <tableColumns count="7">
    <tableColumn id="1" xr3:uid="{1CB192D4-EA0C-43B9-BBA1-2CDE08D46707}" name="NUMERO" totalsRowFunction="count" dataDxfId="7" totalsRowDxfId="6"/>
    <tableColumn id="2" xr3:uid="{39131D54-A941-45B7-91CA-4A993FB4586A}" name="CONCEPTO"/>
    <tableColumn id="3" xr3:uid="{A5B9145C-5D95-4CD0-B85A-E52121BDC3D1}" name="CLIENTE"/>
    <tableColumn id="4" xr3:uid="{0B064180-7933-49FE-81AB-DC7A37DB359D}" name="PROVINCIA"/>
    <tableColumn id="6" xr3:uid="{D1ADAA17-1DA1-4A48-8D0D-81906A88F8DE}" name="IMPORTE" totalsRowFunction="sum" dataDxfId="5" totalsRowDxfId="4"/>
    <tableColumn id="7" xr3:uid="{7CCE4634-E2FF-48E9-990A-F847B822625F}" name="FECHA" totalsRowFunction="min" dataDxfId="3" totalsRowDxfId="2"/>
    <tableColumn id="8" xr3:uid="{D4520979-8034-41A3-B83C-501B0AE7338A}" name="PAGADA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7616-2EC5-4352-AFC9-D5472BB0B355}">
  <dimension ref="A1:G779"/>
  <sheetViews>
    <sheetView zoomScaleNormal="100" workbookViewId="0">
      <selection activeCell="C10" sqref="C10"/>
    </sheetView>
  </sheetViews>
  <sheetFormatPr baseColWidth="10" defaultColWidth="11.46484375" defaultRowHeight="12.75" x14ac:dyDescent="0.35"/>
  <cols>
    <col min="1" max="1" width="22.86328125" bestFit="1" customWidth="1"/>
    <col min="2" max="2" width="14.6640625" bestFit="1" customWidth="1"/>
    <col min="3" max="3" width="13.86328125" bestFit="1" customWidth="1"/>
    <col min="4" max="4" width="13.6640625" customWidth="1"/>
    <col min="5" max="5" width="19.46484375" customWidth="1"/>
    <col min="6" max="6" width="21" bestFit="1" customWidth="1"/>
    <col min="7" max="7" width="13.1328125" bestFit="1" customWidth="1"/>
    <col min="8" max="8" width="3.19921875" customWidth="1"/>
  </cols>
  <sheetData>
    <row r="1" spans="1:7" ht="13.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t="s">
        <v>7</v>
      </c>
      <c r="C2" t="s">
        <v>8</v>
      </c>
      <c r="D2" t="s">
        <v>9</v>
      </c>
      <c r="E2" s="3">
        <v>1200</v>
      </c>
      <c r="F2" s="4">
        <v>43677</v>
      </c>
      <c r="G2" s="2" t="s">
        <v>10</v>
      </c>
    </row>
    <row r="3" spans="1:7" x14ac:dyDescent="0.35">
      <c r="A3" s="2">
        <v>2</v>
      </c>
      <c r="B3" t="s">
        <v>11</v>
      </c>
      <c r="C3" t="s">
        <v>12</v>
      </c>
      <c r="D3" t="s">
        <v>13</v>
      </c>
      <c r="E3" s="3">
        <v>800</v>
      </c>
      <c r="F3" s="4">
        <v>44349</v>
      </c>
      <c r="G3" s="2" t="s">
        <v>10</v>
      </c>
    </row>
    <row r="4" spans="1:7" x14ac:dyDescent="0.35">
      <c r="A4" s="2">
        <v>3</v>
      </c>
      <c r="B4" t="s">
        <v>14</v>
      </c>
      <c r="C4" t="s">
        <v>15</v>
      </c>
      <c r="D4" t="s">
        <v>13</v>
      </c>
      <c r="E4" s="3">
        <v>750</v>
      </c>
      <c r="F4" s="4">
        <v>43934</v>
      </c>
      <c r="G4" s="2" t="s">
        <v>10</v>
      </c>
    </row>
    <row r="5" spans="1:7" x14ac:dyDescent="0.35">
      <c r="A5" s="2">
        <v>4</v>
      </c>
      <c r="B5" t="s">
        <v>16</v>
      </c>
      <c r="C5" t="s">
        <v>17</v>
      </c>
      <c r="D5" t="s">
        <v>13</v>
      </c>
      <c r="E5" s="3">
        <v>4500</v>
      </c>
      <c r="F5" s="4">
        <v>43909</v>
      </c>
      <c r="G5" s="2" t="s">
        <v>10</v>
      </c>
    </row>
    <row r="6" spans="1:7" x14ac:dyDescent="0.35">
      <c r="A6" s="2">
        <v>5</v>
      </c>
      <c r="B6" t="s">
        <v>18</v>
      </c>
      <c r="C6" t="s">
        <v>19</v>
      </c>
      <c r="D6" t="s">
        <v>9</v>
      </c>
      <c r="E6" s="3">
        <v>500</v>
      </c>
      <c r="F6" s="4">
        <v>43785</v>
      </c>
      <c r="G6" s="2" t="s">
        <v>10</v>
      </c>
    </row>
    <row r="7" spans="1:7" x14ac:dyDescent="0.35">
      <c r="A7" s="2">
        <v>6</v>
      </c>
      <c r="B7" t="s">
        <v>20</v>
      </c>
      <c r="C7" t="s">
        <v>8</v>
      </c>
      <c r="D7" t="s">
        <v>9</v>
      </c>
      <c r="E7" s="3">
        <v>750</v>
      </c>
      <c r="F7" s="4">
        <v>43514</v>
      </c>
      <c r="G7" s="2" t="s">
        <v>10</v>
      </c>
    </row>
    <row r="8" spans="1:7" x14ac:dyDescent="0.35">
      <c r="A8" s="2">
        <v>7</v>
      </c>
      <c r="B8" t="s">
        <v>7</v>
      </c>
      <c r="C8" t="s">
        <v>12</v>
      </c>
      <c r="D8" t="s">
        <v>13</v>
      </c>
      <c r="E8" s="3">
        <v>950</v>
      </c>
      <c r="F8" s="4">
        <v>43544</v>
      </c>
      <c r="G8" s="2" t="s">
        <v>10</v>
      </c>
    </row>
    <row r="9" spans="1:7" x14ac:dyDescent="0.35">
      <c r="A9" s="2">
        <v>8</v>
      </c>
      <c r="B9" t="s">
        <v>11</v>
      </c>
      <c r="C9" t="s">
        <v>12</v>
      </c>
      <c r="D9" t="s">
        <v>13</v>
      </c>
      <c r="E9" s="3">
        <v>680</v>
      </c>
      <c r="F9" s="4">
        <v>43669</v>
      </c>
      <c r="G9" s="2" t="s">
        <v>10</v>
      </c>
    </row>
    <row r="10" spans="1:7" x14ac:dyDescent="0.35">
      <c r="A10" s="2">
        <v>9</v>
      </c>
      <c r="B10" t="s">
        <v>14</v>
      </c>
      <c r="C10" t="s">
        <v>15</v>
      </c>
      <c r="D10" t="s">
        <v>13</v>
      </c>
      <c r="E10" s="3">
        <v>950</v>
      </c>
      <c r="F10" s="4">
        <v>44554</v>
      </c>
      <c r="G10" s="2" t="s">
        <v>10</v>
      </c>
    </row>
    <row r="11" spans="1:7" x14ac:dyDescent="0.35">
      <c r="A11" s="2">
        <v>10</v>
      </c>
      <c r="B11" t="s">
        <v>16</v>
      </c>
      <c r="C11" t="s">
        <v>17</v>
      </c>
      <c r="D11" t="s">
        <v>13</v>
      </c>
      <c r="E11" s="3">
        <v>1500</v>
      </c>
      <c r="F11" s="4">
        <v>43584</v>
      </c>
      <c r="G11" s="2" t="s">
        <v>10</v>
      </c>
    </row>
    <row r="12" spans="1:7" x14ac:dyDescent="0.35">
      <c r="A12" s="2">
        <v>11</v>
      </c>
      <c r="B12" t="s">
        <v>18</v>
      </c>
      <c r="C12" t="s">
        <v>21</v>
      </c>
      <c r="D12" t="s">
        <v>22</v>
      </c>
      <c r="E12" s="3">
        <v>5000</v>
      </c>
      <c r="F12" s="4">
        <v>44050</v>
      </c>
      <c r="G12" s="2" t="s">
        <v>10</v>
      </c>
    </row>
    <row r="13" spans="1:7" x14ac:dyDescent="0.35">
      <c r="A13" s="2">
        <v>12</v>
      </c>
      <c r="B13" t="s">
        <v>20</v>
      </c>
      <c r="C13" t="s">
        <v>23</v>
      </c>
      <c r="D13" t="s">
        <v>22</v>
      </c>
      <c r="E13" s="3">
        <v>6500</v>
      </c>
      <c r="F13" s="4">
        <v>43539</v>
      </c>
      <c r="G13" s="2" t="s">
        <v>10</v>
      </c>
    </row>
    <row r="14" spans="1:7" x14ac:dyDescent="0.35">
      <c r="A14" s="2">
        <v>13</v>
      </c>
      <c r="B14" t="s">
        <v>7</v>
      </c>
      <c r="C14" t="s">
        <v>24</v>
      </c>
      <c r="D14" t="s">
        <v>9</v>
      </c>
      <c r="E14" s="3">
        <v>8500</v>
      </c>
      <c r="F14" s="4">
        <v>44356</v>
      </c>
      <c r="G14" s="2" t="s">
        <v>10</v>
      </c>
    </row>
    <row r="15" spans="1:7" x14ac:dyDescent="0.35">
      <c r="A15" s="2">
        <v>14</v>
      </c>
      <c r="B15" t="s">
        <v>11</v>
      </c>
      <c r="C15" t="s">
        <v>25</v>
      </c>
      <c r="D15" t="s">
        <v>9</v>
      </c>
      <c r="E15" s="3">
        <v>1200</v>
      </c>
      <c r="F15" s="4">
        <v>44257</v>
      </c>
      <c r="G15" s="2" t="s">
        <v>10</v>
      </c>
    </row>
    <row r="16" spans="1:7" x14ac:dyDescent="0.35">
      <c r="A16" s="2">
        <v>15</v>
      </c>
      <c r="B16" t="s">
        <v>14</v>
      </c>
      <c r="C16" t="s">
        <v>24</v>
      </c>
      <c r="D16" t="s">
        <v>9</v>
      </c>
      <c r="E16" s="3">
        <v>300</v>
      </c>
      <c r="F16" s="4">
        <v>43517</v>
      </c>
      <c r="G16" s="2" t="s">
        <v>26</v>
      </c>
    </row>
    <row r="17" spans="1:7" x14ac:dyDescent="0.35">
      <c r="A17" s="2">
        <v>16</v>
      </c>
      <c r="B17" t="s">
        <v>20</v>
      </c>
      <c r="C17" t="s">
        <v>25</v>
      </c>
      <c r="D17" t="s">
        <v>9</v>
      </c>
      <c r="E17" s="3">
        <v>200</v>
      </c>
      <c r="F17" s="4">
        <v>43873</v>
      </c>
      <c r="G17" s="2" t="s">
        <v>26</v>
      </c>
    </row>
    <row r="18" spans="1:7" x14ac:dyDescent="0.35">
      <c r="A18" s="2">
        <v>17</v>
      </c>
      <c r="B18" t="s">
        <v>7</v>
      </c>
      <c r="C18" t="s">
        <v>27</v>
      </c>
      <c r="D18" t="s">
        <v>22</v>
      </c>
      <c r="E18" s="3">
        <v>150</v>
      </c>
      <c r="F18" s="4">
        <v>43614</v>
      </c>
      <c r="G18" s="2" t="s">
        <v>26</v>
      </c>
    </row>
    <row r="19" spans="1:7" x14ac:dyDescent="0.35">
      <c r="A19" s="2">
        <v>18</v>
      </c>
      <c r="B19" t="s">
        <v>11</v>
      </c>
      <c r="C19" t="s">
        <v>19</v>
      </c>
      <c r="D19" t="s">
        <v>9</v>
      </c>
      <c r="E19" s="3">
        <v>120</v>
      </c>
      <c r="F19" s="4">
        <v>43648</v>
      </c>
      <c r="G19" s="2" t="s">
        <v>26</v>
      </c>
    </row>
    <row r="20" spans="1:7" x14ac:dyDescent="0.35">
      <c r="A20" s="2">
        <v>19</v>
      </c>
      <c r="B20" t="s">
        <v>14</v>
      </c>
      <c r="C20" t="s">
        <v>8</v>
      </c>
      <c r="D20" t="s">
        <v>9</v>
      </c>
      <c r="E20" s="3">
        <v>300</v>
      </c>
      <c r="F20" s="4">
        <v>43800</v>
      </c>
      <c r="G20" s="2" t="s">
        <v>26</v>
      </c>
    </row>
    <row r="21" spans="1:7" x14ac:dyDescent="0.35">
      <c r="A21" s="2">
        <v>20</v>
      </c>
      <c r="B21" t="s">
        <v>16</v>
      </c>
      <c r="C21" t="s">
        <v>12</v>
      </c>
      <c r="D21" t="s">
        <v>13</v>
      </c>
      <c r="E21" s="3">
        <v>350</v>
      </c>
      <c r="F21" s="4">
        <v>44450</v>
      </c>
      <c r="G21" s="2" t="s">
        <v>26</v>
      </c>
    </row>
    <row r="22" spans="1:7" x14ac:dyDescent="0.35">
      <c r="A22" s="2">
        <v>21</v>
      </c>
      <c r="B22" t="s">
        <v>18</v>
      </c>
      <c r="C22" t="s">
        <v>15</v>
      </c>
      <c r="D22" t="s">
        <v>13</v>
      </c>
      <c r="E22" s="3">
        <v>300</v>
      </c>
      <c r="F22" s="4">
        <v>43740</v>
      </c>
      <c r="G22" s="2" t="s">
        <v>26</v>
      </c>
    </row>
    <row r="23" spans="1:7" x14ac:dyDescent="0.35">
      <c r="A23" s="2">
        <v>22</v>
      </c>
      <c r="B23" t="s">
        <v>20</v>
      </c>
      <c r="C23" t="s">
        <v>17</v>
      </c>
      <c r="D23" t="s">
        <v>13</v>
      </c>
      <c r="E23" s="3">
        <v>120</v>
      </c>
      <c r="F23" s="4">
        <v>43560</v>
      </c>
      <c r="G23" s="2" t="s">
        <v>10</v>
      </c>
    </row>
    <row r="24" spans="1:7" x14ac:dyDescent="0.35">
      <c r="A24" s="2">
        <v>23</v>
      </c>
      <c r="B24" t="s">
        <v>7</v>
      </c>
      <c r="C24" t="s">
        <v>21</v>
      </c>
      <c r="D24" t="s">
        <v>22</v>
      </c>
      <c r="E24" s="3">
        <v>150</v>
      </c>
      <c r="F24" s="4">
        <v>44502</v>
      </c>
      <c r="G24" s="2" t="s">
        <v>10</v>
      </c>
    </row>
    <row r="25" spans="1:7" x14ac:dyDescent="0.35">
      <c r="A25" s="2">
        <v>24</v>
      </c>
      <c r="B25" t="s">
        <v>11</v>
      </c>
      <c r="C25" t="s">
        <v>23</v>
      </c>
      <c r="D25" t="s">
        <v>22</v>
      </c>
      <c r="E25" s="3">
        <v>1200</v>
      </c>
      <c r="F25" s="4">
        <v>44149</v>
      </c>
      <c r="G25" s="2" t="s">
        <v>10</v>
      </c>
    </row>
    <row r="26" spans="1:7" x14ac:dyDescent="0.35">
      <c r="A26" s="2">
        <v>25</v>
      </c>
      <c r="B26" t="s">
        <v>14</v>
      </c>
      <c r="C26" t="s">
        <v>24</v>
      </c>
      <c r="D26" t="s">
        <v>9</v>
      </c>
      <c r="E26" s="3">
        <v>800</v>
      </c>
      <c r="F26" s="4">
        <v>43552</v>
      </c>
      <c r="G26" s="2" t="s">
        <v>10</v>
      </c>
    </row>
    <row r="27" spans="1:7" x14ac:dyDescent="0.35">
      <c r="A27" s="2">
        <v>26</v>
      </c>
      <c r="B27" t="s">
        <v>16</v>
      </c>
      <c r="C27" t="s">
        <v>8</v>
      </c>
      <c r="D27" t="s">
        <v>9</v>
      </c>
      <c r="E27" s="3">
        <v>750</v>
      </c>
      <c r="F27" s="4">
        <v>43931</v>
      </c>
      <c r="G27" s="2" t="s">
        <v>10</v>
      </c>
    </row>
    <row r="28" spans="1:7" x14ac:dyDescent="0.35">
      <c r="A28" s="2">
        <v>27</v>
      </c>
      <c r="B28" t="s">
        <v>11</v>
      </c>
      <c r="C28" t="s">
        <v>12</v>
      </c>
      <c r="D28" t="s">
        <v>13</v>
      </c>
      <c r="E28" s="3">
        <v>4500</v>
      </c>
      <c r="F28" s="4">
        <v>44350</v>
      </c>
      <c r="G28" s="2" t="s">
        <v>10</v>
      </c>
    </row>
    <row r="29" spans="1:7" x14ac:dyDescent="0.35">
      <c r="A29" s="2">
        <v>28</v>
      </c>
      <c r="B29" t="s">
        <v>14</v>
      </c>
      <c r="C29" t="s">
        <v>12</v>
      </c>
      <c r="D29" t="s">
        <v>13</v>
      </c>
      <c r="E29" s="3">
        <v>500</v>
      </c>
      <c r="F29" s="4">
        <v>44322</v>
      </c>
      <c r="G29" s="2" t="s">
        <v>10</v>
      </c>
    </row>
    <row r="30" spans="1:7" x14ac:dyDescent="0.35">
      <c r="A30" s="2">
        <v>29</v>
      </c>
      <c r="B30" t="s">
        <v>16</v>
      </c>
      <c r="C30" t="s">
        <v>15</v>
      </c>
      <c r="D30" t="s">
        <v>13</v>
      </c>
      <c r="E30" s="3">
        <v>750</v>
      </c>
      <c r="F30" s="4">
        <v>43912</v>
      </c>
      <c r="G30" s="2" t="s">
        <v>10</v>
      </c>
    </row>
    <row r="31" spans="1:7" x14ac:dyDescent="0.35">
      <c r="A31" s="2">
        <v>30</v>
      </c>
      <c r="B31" t="s">
        <v>18</v>
      </c>
      <c r="C31" t="s">
        <v>17</v>
      </c>
      <c r="D31" t="s">
        <v>13</v>
      </c>
      <c r="E31" s="3">
        <v>950</v>
      </c>
      <c r="F31" s="4">
        <v>44381</v>
      </c>
      <c r="G31" s="2" t="s">
        <v>10</v>
      </c>
    </row>
    <row r="32" spans="1:7" x14ac:dyDescent="0.35">
      <c r="A32" s="2">
        <v>31</v>
      </c>
      <c r="B32" t="s">
        <v>20</v>
      </c>
      <c r="C32" t="s">
        <v>21</v>
      </c>
      <c r="D32" t="s">
        <v>22</v>
      </c>
      <c r="E32" s="3">
        <v>680</v>
      </c>
      <c r="F32" s="4">
        <v>44328</v>
      </c>
      <c r="G32" s="2" t="s">
        <v>10</v>
      </c>
    </row>
    <row r="33" spans="1:7" x14ac:dyDescent="0.35">
      <c r="A33" s="2">
        <v>32</v>
      </c>
      <c r="B33" t="s">
        <v>7</v>
      </c>
      <c r="C33" t="s">
        <v>23</v>
      </c>
      <c r="D33" t="s">
        <v>22</v>
      </c>
      <c r="E33" s="3">
        <v>950</v>
      </c>
      <c r="F33" s="4">
        <v>43606</v>
      </c>
      <c r="G33" s="2" t="s">
        <v>10</v>
      </c>
    </row>
    <row r="34" spans="1:7" x14ac:dyDescent="0.35">
      <c r="A34" s="2">
        <v>33</v>
      </c>
      <c r="B34" t="s">
        <v>11</v>
      </c>
      <c r="C34" t="s">
        <v>24</v>
      </c>
      <c r="D34" t="s">
        <v>9</v>
      </c>
      <c r="E34" s="3">
        <v>1500</v>
      </c>
      <c r="F34" s="4">
        <v>43753</v>
      </c>
      <c r="G34" s="2" t="s">
        <v>10</v>
      </c>
    </row>
    <row r="35" spans="1:7" x14ac:dyDescent="0.35">
      <c r="A35" s="2">
        <v>34</v>
      </c>
      <c r="B35" t="s">
        <v>14</v>
      </c>
      <c r="C35" t="s">
        <v>25</v>
      </c>
      <c r="D35" t="s">
        <v>9</v>
      </c>
      <c r="E35" s="3">
        <v>5000</v>
      </c>
      <c r="F35" s="4">
        <v>44466</v>
      </c>
      <c r="G35" s="2" t="s">
        <v>10</v>
      </c>
    </row>
    <row r="36" spans="1:7" x14ac:dyDescent="0.35">
      <c r="A36" s="2">
        <v>35</v>
      </c>
      <c r="B36" t="s">
        <v>20</v>
      </c>
      <c r="C36" t="s">
        <v>24</v>
      </c>
      <c r="D36" t="s">
        <v>9</v>
      </c>
      <c r="E36" s="3">
        <v>6500</v>
      </c>
      <c r="F36" s="4">
        <v>43765</v>
      </c>
      <c r="G36" s="2" t="s">
        <v>10</v>
      </c>
    </row>
    <row r="37" spans="1:7" x14ac:dyDescent="0.35">
      <c r="A37" s="2">
        <v>36</v>
      </c>
      <c r="B37" t="s">
        <v>7</v>
      </c>
      <c r="C37" t="s">
        <v>25</v>
      </c>
      <c r="D37" t="s">
        <v>9</v>
      </c>
      <c r="E37" s="3">
        <v>8500</v>
      </c>
      <c r="F37" s="4">
        <v>43883</v>
      </c>
      <c r="G37" s="2" t="s">
        <v>10</v>
      </c>
    </row>
    <row r="38" spans="1:7" x14ac:dyDescent="0.35">
      <c r="A38" s="2">
        <v>37</v>
      </c>
      <c r="B38" t="s">
        <v>11</v>
      </c>
      <c r="C38" t="s">
        <v>27</v>
      </c>
      <c r="D38" t="s">
        <v>22</v>
      </c>
      <c r="E38" s="3">
        <v>1200</v>
      </c>
      <c r="F38" s="4">
        <v>44489</v>
      </c>
      <c r="G38" s="2" t="s">
        <v>10</v>
      </c>
    </row>
    <row r="39" spans="1:7" x14ac:dyDescent="0.35">
      <c r="A39" s="2">
        <v>38</v>
      </c>
      <c r="B39" t="s">
        <v>14</v>
      </c>
      <c r="C39" t="s">
        <v>19</v>
      </c>
      <c r="D39" t="s">
        <v>9</v>
      </c>
      <c r="E39" s="3">
        <v>300</v>
      </c>
      <c r="F39" s="4">
        <v>44363</v>
      </c>
      <c r="G39" s="2" t="s">
        <v>10</v>
      </c>
    </row>
    <row r="40" spans="1:7" x14ac:dyDescent="0.35">
      <c r="A40" s="2">
        <v>39</v>
      </c>
      <c r="B40" t="s">
        <v>16</v>
      </c>
      <c r="C40" t="s">
        <v>8</v>
      </c>
      <c r="D40" t="s">
        <v>9</v>
      </c>
      <c r="E40" s="3">
        <v>200</v>
      </c>
      <c r="F40" s="4">
        <v>44013</v>
      </c>
      <c r="G40" s="2" t="s">
        <v>10</v>
      </c>
    </row>
    <row r="41" spans="1:7" x14ac:dyDescent="0.35">
      <c r="A41" s="2">
        <v>40</v>
      </c>
      <c r="B41" t="s">
        <v>18</v>
      </c>
      <c r="C41" t="s">
        <v>12</v>
      </c>
      <c r="D41" t="s">
        <v>13</v>
      </c>
      <c r="E41" s="3">
        <v>150</v>
      </c>
      <c r="F41" s="4">
        <v>43783</v>
      </c>
      <c r="G41" s="2" t="s">
        <v>10</v>
      </c>
    </row>
    <row r="42" spans="1:7" x14ac:dyDescent="0.35">
      <c r="A42" s="2">
        <v>41</v>
      </c>
      <c r="B42" t="s">
        <v>20</v>
      </c>
      <c r="C42" t="s">
        <v>15</v>
      </c>
      <c r="D42" t="s">
        <v>13</v>
      </c>
      <c r="E42" s="3">
        <v>120</v>
      </c>
      <c r="F42" s="4">
        <v>43594</v>
      </c>
      <c r="G42" s="2" t="s">
        <v>10</v>
      </c>
    </row>
    <row r="43" spans="1:7" x14ac:dyDescent="0.35">
      <c r="A43" s="2">
        <v>42</v>
      </c>
      <c r="B43" t="s">
        <v>7</v>
      </c>
      <c r="C43" t="s">
        <v>17</v>
      </c>
      <c r="D43" t="s">
        <v>13</v>
      </c>
      <c r="E43" s="3">
        <v>300</v>
      </c>
      <c r="F43" s="4">
        <v>44373</v>
      </c>
      <c r="G43" s="2" t="s">
        <v>10</v>
      </c>
    </row>
    <row r="44" spans="1:7" x14ac:dyDescent="0.35">
      <c r="A44" s="2">
        <v>43</v>
      </c>
      <c r="B44" t="s">
        <v>11</v>
      </c>
      <c r="C44" t="s">
        <v>21</v>
      </c>
      <c r="D44" t="s">
        <v>22</v>
      </c>
      <c r="E44" s="3">
        <v>350</v>
      </c>
      <c r="F44" s="4">
        <v>43519</v>
      </c>
      <c r="G44" s="2" t="s">
        <v>26</v>
      </c>
    </row>
    <row r="45" spans="1:7" x14ac:dyDescent="0.35">
      <c r="A45" s="2">
        <v>44</v>
      </c>
      <c r="B45" t="s">
        <v>14</v>
      </c>
      <c r="C45" t="s">
        <v>23</v>
      </c>
      <c r="D45" t="s">
        <v>22</v>
      </c>
      <c r="E45" s="3">
        <v>300</v>
      </c>
      <c r="F45" s="4">
        <v>44382</v>
      </c>
      <c r="G45" s="2" t="s">
        <v>26</v>
      </c>
    </row>
    <row r="46" spans="1:7" x14ac:dyDescent="0.35">
      <c r="A46" s="2">
        <v>45</v>
      </c>
      <c r="B46" t="s">
        <v>16</v>
      </c>
      <c r="C46" t="s">
        <v>24</v>
      </c>
      <c r="D46" t="s">
        <v>9</v>
      </c>
      <c r="E46" s="3">
        <v>120</v>
      </c>
      <c r="F46" s="4">
        <v>44382</v>
      </c>
      <c r="G46" s="2" t="s">
        <v>26</v>
      </c>
    </row>
    <row r="47" spans="1:7" x14ac:dyDescent="0.35">
      <c r="A47" s="2">
        <v>46</v>
      </c>
      <c r="B47" t="s">
        <v>18</v>
      </c>
      <c r="C47" t="s">
        <v>8</v>
      </c>
      <c r="D47" t="s">
        <v>9</v>
      </c>
      <c r="E47" s="3">
        <v>150</v>
      </c>
      <c r="F47" s="4">
        <v>44528</v>
      </c>
      <c r="G47" s="2" t="s">
        <v>26</v>
      </c>
    </row>
    <row r="48" spans="1:7" x14ac:dyDescent="0.35">
      <c r="A48" s="2">
        <v>47</v>
      </c>
      <c r="B48" t="s">
        <v>20</v>
      </c>
      <c r="C48" t="s">
        <v>12</v>
      </c>
      <c r="D48" t="s">
        <v>13</v>
      </c>
      <c r="E48" s="3">
        <v>8500</v>
      </c>
      <c r="F48" s="4">
        <v>44259</v>
      </c>
      <c r="G48" s="2" t="s">
        <v>26</v>
      </c>
    </row>
    <row r="49" spans="1:7" x14ac:dyDescent="0.35">
      <c r="A49" s="2">
        <v>48</v>
      </c>
      <c r="B49" t="s">
        <v>7</v>
      </c>
      <c r="C49" t="s">
        <v>15</v>
      </c>
      <c r="D49" t="s">
        <v>13</v>
      </c>
      <c r="E49" s="3">
        <v>1200</v>
      </c>
      <c r="F49" s="4">
        <v>44423</v>
      </c>
      <c r="G49" s="2" t="s">
        <v>26</v>
      </c>
    </row>
    <row r="50" spans="1:7" x14ac:dyDescent="0.35">
      <c r="A50" s="2">
        <v>49</v>
      </c>
      <c r="B50" t="s">
        <v>11</v>
      </c>
      <c r="C50" t="s">
        <v>17</v>
      </c>
      <c r="D50" t="s">
        <v>13</v>
      </c>
      <c r="E50" s="3">
        <v>300</v>
      </c>
      <c r="F50" s="4">
        <v>44202</v>
      </c>
      <c r="G50" s="2" t="s">
        <v>26</v>
      </c>
    </row>
    <row r="51" spans="1:7" x14ac:dyDescent="0.35">
      <c r="A51" s="2">
        <v>50</v>
      </c>
      <c r="B51" t="s">
        <v>14</v>
      </c>
      <c r="C51" t="s">
        <v>19</v>
      </c>
      <c r="D51" t="s">
        <v>9</v>
      </c>
      <c r="E51" s="3">
        <v>200</v>
      </c>
      <c r="F51" s="4">
        <v>43934</v>
      </c>
      <c r="G51" s="2" t="s">
        <v>10</v>
      </c>
    </row>
    <row r="52" spans="1:7" x14ac:dyDescent="0.35">
      <c r="A52" s="2">
        <v>51</v>
      </c>
      <c r="B52" t="s">
        <v>16</v>
      </c>
      <c r="C52" t="s">
        <v>8</v>
      </c>
      <c r="D52" t="s">
        <v>9</v>
      </c>
      <c r="E52" s="3">
        <v>150</v>
      </c>
      <c r="F52" s="4">
        <v>44007</v>
      </c>
      <c r="G52" s="2" t="s">
        <v>10</v>
      </c>
    </row>
    <row r="53" spans="1:7" x14ac:dyDescent="0.35">
      <c r="A53" s="2">
        <v>52</v>
      </c>
      <c r="B53" t="s">
        <v>18</v>
      </c>
      <c r="C53" t="s">
        <v>12</v>
      </c>
      <c r="D53" t="s">
        <v>13</v>
      </c>
      <c r="E53" s="3">
        <v>120</v>
      </c>
      <c r="F53" s="4">
        <v>44437</v>
      </c>
      <c r="G53" s="2" t="s">
        <v>10</v>
      </c>
    </row>
    <row r="54" spans="1:7" x14ac:dyDescent="0.35">
      <c r="A54" s="2">
        <v>53</v>
      </c>
      <c r="B54" t="s">
        <v>20</v>
      </c>
      <c r="C54" t="s">
        <v>12</v>
      </c>
      <c r="D54" t="s">
        <v>13</v>
      </c>
      <c r="E54" s="3">
        <v>300</v>
      </c>
      <c r="F54" s="4">
        <v>44216</v>
      </c>
      <c r="G54" s="2" t="s">
        <v>10</v>
      </c>
    </row>
    <row r="55" spans="1:7" x14ac:dyDescent="0.35">
      <c r="A55" s="2">
        <v>54</v>
      </c>
      <c r="B55" t="s">
        <v>7</v>
      </c>
      <c r="C55" t="s">
        <v>15</v>
      </c>
      <c r="D55" t="s">
        <v>13</v>
      </c>
      <c r="E55" s="3">
        <v>350</v>
      </c>
      <c r="F55" s="4">
        <v>44546</v>
      </c>
      <c r="G55" s="2" t="s">
        <v>10</v>
      </c>
    </row>
    <row r="56" spans="1:7" x14ac:dyDescent="0.35">
      <c r="A56" s="2">
        <v>55</v>
      </c>
      <c r="B56" t="s">
        <v>11</v>
      </c>
      <c r="C56" t="s">
        <v>17</v>
      </c>
      <c r="D56" t="s">
        <v>13</v>
      </c>
      <c r="E56" s="3">
        <v>300</v>
      </c>
      <c r="F56" s="4">
        <v>44141</v>
      </c>
      <c r="G56" s="2" t="s">
        <v>10</v>
      </c>
    </row>
    <row r="57" spans="1:7" x14ac:dyDescent="0.35">
      <c r="A57" s="2">
        <v>56</v>
      </c>
      <c r="B57" t="s">
        <v>14</v>
      </c>
      <c r="C57" t="s">
        <v>21</v>
      </c>
      <c r="D57" t="s">
        <v>22</v>
      </c>
      <c r="E57" s="3">
        <v>120</v>
      </c>
      <c r="F57" s="4">
        <v>44537</v>
      </c>
      <c r="G57" s="2" t="s">
        <v>10</v>
      </c>
    </row>
    <row r="58" spans="1:7" x14ac:dyDescent="0.35">
      <c r="A58" s="2">
        <v>57</v>
      </c>
      <c r="B58" t="s">
        <v>16</v>
      </c>
      <c r="C58" t="s">
        <v>23</v>
      </c>
      <c r="D58" t="s">
        <v>22</v>
      </c>
      <c r="E58" s="3">
        <v>150</v>
      </c>
      <c r="F58" s="4">
        <v>43503</v>
      </c>
      <c r="G58" s="2" t="s">
        <v>26</v>
      </c>
    </row>
    <row r="59" spans="1:7" x14ac:dyDescent="0.35">
      <c r="A59" s="2">
        <v>58</v>
      </c>
      <c r="B59" t="s">
        <v>18</v>
      </c>
      <c r="C59" t="s">
        <v>24</v>
      </c>
      <c r="D59" t="s">
        <v>9</v>
      </c>
      <c r="E59" s="3">
        <v>1200</v>
      </c>
      <c r="F59" s="4">
        <v>43660</v>
      </c>
      <c r="G59" s="2" t="s">
        <v>26</v>
      </c>
    </row>
    <row r="60" spans="1:7" x14ac:dyDescent="0.35">
      <c r="A60" s="2">
        <v>59</v>
      </c>
      <c r="B60" t="s">
        <v>20</v>
      </c>
      <c r="C60" t="s">
        <v>25</v>
      </c>
      <c r="D60" t="s">
        <v>9</v>
      </c>
      <c r="E60" s="3">
        <v>800</v>
      </c>
      <c r="F60" s="4">
        <v>44056</v>
      </c>
      <c r="G60" s="2" t="s">
        <v>26</v>
      </c>
    </row>
    <row r="61" spans="1:7" x14ac:dyDescent="0.35">
      <c r="A61" s="2">
        <v>60</v>
      </c>
      <c r="B61" t="s">
        <v>7</v>
      </c>
      <c r="C61" t="s">
        <v>24</v>
      </c>
      <c r="D61" t="s">
        <v>9</v>
      </c>
      <c r="E61" s="3">
        <v>750</v>
      </c>
      <c r="F61" s="4">
        <v>44096</v>
      </c>
      <c r="G61" s="2" t="s">
        <v>26</v>
      </c>
    </row>
    <row r="62" spans="1:7" x14ac:dyDescent="0.35">
      <c r="A62" s="2">
        <v>61</v>
      </c>
      <c r="B62" t="s">
        <v>11</v>
      </c>
      <c r="C62" t="s">
        <v>25</v>
      </c>
      <c r="D62" t="s">
        <v>9</v>
      </c>
      <c r="E62" s="3">
        <v>4500</v>
      </c>
      <c r="F62" s="4">
        <v>44327</v>
      </c>
      <c r="G62" s="2" t="s">
        <v>26</v>
      </c>
    </row>
    <row r="63" spans="1:7" x14ac:dyDescent="0.35">
      <c r="A63" s="2">
        <v>62</v>
      </c>
      <c r="B63" t="s">
        <v>14</v>
      </c>
      <c r="C63" t="s">
        <v>27</v>
      </c>
      <c r="D63" t="s">
        <v>22</v>
      </c>
      <c r="E63" s="3">
        <v>500</v>
      </c>
      <c r="F63" s="4">
        <v>43956</v>
      </c>
      <c r="G63" s="2" t="s">
        <v>26</v>
      </c>
    </row>
    <row r="64" spans="1:7" x14ac:dyDescent="0.35">
      <c r="A64" s="2">
        <v>63</v>
      </c>
      <c r="B64" t="s">
        <v>16</v>
      </c>
      <c r="C64" t="s">
        <v>19</v>
      </c>
      <c r="D64" t="s">
        <v>9</v>
      </c>
      <c r="E64" s="3">
        <v>750</v>
      </c>
      <c r="F64" s="4">
        <v>43950</v>
      </c>
      <c r="G64" s="2" t="s">
        <v>10</v>
      </c>
    </row>
    <row r="65" spans="1:7" x14ac:dyDescent="0.35">
      <c r="A65" s="2">
        <v>64</v>
      </c>
      <c r="B65" t="s">
        <v>18</v>
      </c>
      <c r="C65" t="s">
        <v>8</v>
      </c>
      <c r="D65" t="s">
        <v>9</v>
      </c>
      <c r="E65" s="3">
        <v>950</v>
      </c>
      <c r="F65" s="4">
        <v>43634</v>
      </c>
      <c r="G65" s="2" t="s">
        <v>10</v>
      </c>
    </row>
    <row r="66" spans="1:7" x14ac:dyDescent="0.35">
      <c r="A66" s="2">
        <v>65</v>
      </c>
      <c r="B66" t="s">
        <v>20</v>
      </c>
      <c r="C66" t="s">
        <v>12</v>
      </c>
      <c r="D66" t="s">
        <v>13</v>
      </c>
      <c r="E66" s="3">
        <v>680</v>
      </c>
      <c r="F66" s="4">
        <v>44238</v>
      </c>
      <c r="G66" s="2" t="s">
        <v>10</v>
      </c>
    </row>
    <row r="67" spans="1:7" x14ac:dyDescent="0.35">
      <c r="A67" s="2">
        <v>66</v>
      </c>
      <c r="B67" t="s">
        <v>7</v>
      </c>
      <c r="C67" t="s">
        <v>15</v>
      </c>
      <c r="D67" t="s">
        <v>13</v>
      </c>
      <c r="E67" s="3">
        <v>950</v>
      </c>
      <c r="F67" s="4">
        <v>44269</v>
      </c>
      <c r="G67" s="2" t="s">
        <v>10</v>
      </c>
    </row>
    <row r="68" spans="1:7" x14ac:dyDescent="0.35">
      <c r="A68" s="2">
        <v>67</v>
      </c>
      <c r="B68" t="s">
        <v>11</v>
      </c>
      <c r="C68" t="s">
        <v>17</v>
      </c>
      <c r="D68" t="s">
        <v>13</v>
      </c>
      <c r="E68" s="3">
        <v>1500</v>
      </c>
      <c r="F68" s="4">
        <v>44444</v>
      </c>
      <c r="G68" s="2" t="s">
        <v>10</v>
      </c>
    </row>
    <row r="69" spans="1:7" x14ac:dyDescent="0.35">
      <c r="A69" s="2">
        <v>68</v>
      </c>
      <c r="B69" t="s">
        <v>14</v>
      </c>
      <c r="C69" t="s">
        <v>21</v>
      </c>
      <c r="D69" t="s">
        <v>22</v>
      </c>
      <c r="E69" s="3">
        <v>5000</v>
      </c>
      <c r="F69" s="4">
        <v>43942</v>
      </c>
      <c r="G69" s="2" t="s">
        <v>10</v>
      </c>
    </row>
    <row r="70" spans="1:7" x14ac:dyDescent="0.35">
      <c r="A70" s="2">
        <v>69</v>
      </c>
      <c r="B70" t="s">
        <v>20</v>
      </c>
      <c r="C70" t="s">
        <v>23</v>
      </c>
      <c r="D70" t="s">
        <v>22</v>
      </c>
      <c r="E70" s="3">
        <v>6500</v>
      </c>
      <c r="F70" s="4">
        <v>43587</v>
      </c>
      <c r="G70" s="2" t="s">
        <v>10</v>
      </c>
    </row>
    <row r="71" spans="1:7" x14ac:dyDescent="0.35">
      <c r="A71" s="2">
        <v>70</v>
      </c>
      <c r="B71" t="s">
        <v>7</v>
      </c>
      <c r="C71" t="s">
        <v>24</v>
      </c>
      <c r="D71" t="s">
        <v>9</v>
      </c>
      <c r="E71" s="3">
        <v>1200</v>
      </c>
      <c r="F71" s="4">
        <v>43584</v>
      </c>
      <c r="G71" s="2" t="s">
        <v>10</v>
      </c>
    </row>
    <row r="72" spans="1:7" x14ac:dyDescent="0.35">
      <c r="A72" s="2">
        <v>71</v>
      </c>
      <c r="B72" t="s">
        <v>11</v>
      </c>
      <c r="C72" t="s">
        <v>8</v>
      </c>
      <c r="D72" t="s">
        <v>9</v>
      </c>
      <c r="E72" s="3">
        <v>800</v>
      </c>
      <c r="F72" s="4">
        <v>44280</v>
      </c>
      <c r="G72" s="2" t="s">
        <v>10</v>
      </c>
    </row>
    <row r="73" spans="1:7" x14ac:dyDescent="0.35">
      <c r="A73" s="2">
        <v>72</v>
      </c>
      <c r="B73" t="s">
        <v>14</v>
      </c>
      <c r="C73" t="s">
        <v>12</v>
      </c>
      <c r="D73" t="s">
        <v>13</v>
      </c>
      <c r="E73" s="3">
        <v>750</v>
      </c>
      <c r="F73" s="4">
        <v>43977</v>
      </c>
      <c r="G73" s="2" t="s">
        <v>10</v>
      </c>
    </row>
    <row r="74" spans="1:7" x14ac:dyDescent="0.35">
      <c r="A74" s="2">
        <v>73</v>
      </c>
      <c r="B74" t="s">
        <v>16</v>
      </c>
      <c r="C74" t="s">
        <v>12</v>
      </c>
      <c r="D74" t="s">
        <v>13</v>
      </c>
      <c r="E74" s="3">
        <v>4500</v>
      </c>
      <c r="F74" s="4">
        <v>44004</v>
      </c>
      <c r="G74" s="2" t="s">
        <v>10</v>
      </c>
    </row>
    <row r="75" spans="1:7" x14ac:dyDescent="0.35">
      <c r="A75" s="2">
        <v>74</v>
      </c>
      <c r="B75" t="s">
        <v>18</v>
      </c>
      <c r="C75" t="s">
        <v>15</v>
      </c>
      <c r="D75" t="s">
        <v>13</v>
      </c>
      <c r="E75" s="3">
        <v>500</v>
      </c>
      <c r="F75" s="4">
        <v>44016</v>
      </c>
      <c r="G75" s="2" t="s">
        <v>10</v>
      </c>
    </row>
    <row r="76" spans="1:7" x14ac:dyDescent="0.35">
      <c r="A76" s="2">
        <v>75</v>
      </c>
      <c r="B76" t="s">
        <v>20</v>
      </c>
      <c r="C76" t="s">
        <v>17</v>
      </c>
      <c r="D76" t="s">
        <v>13</v>
      </c>
      <c r="E76" s="3">
        <v>750</v>
      </c>
      <c r="F76" s="4">
        <v>44174</v>
      </c>
      <c r="G76" s="2" t="s">
        <v>10</v>
      </c>
    </row>
    <row r="77" spans="1:7" x14ac:dyDescent="0.35">
      <c r="A77" s="2">
        <v>76</v>
      </c>
      <c r="B77" t="s">
        <v>7</v>
      </c>
      <c r="C77" t="s">
        <v>21</v>
      </c>
      <c r="D77" t="s">
        <v>22</v>
      </c>
      <c r="E77" s="3">
        <v>950</v>
      </c>
      <c r="F77" s="4">
        <v>44101</v>
      </c>
      <c r="G77" s="2" t="s">
        <v>10</v>
      </c>
    </row>
    <row r="78" spans="1:7" x14ac:dyDescent="0.35">
      <c r="A78" s="2">
        <v>77</v>
      </c>
      <c r="B78" t="s">
        <v>11</v>
      </c>
      <c r="C78" t="s">
        <v>23</v>
      </c>
      <c r="D78" t="s">
        <v>22</v>
      </c>
      <c r="E78" s="3">
        <v>680</v>
      </c>
      <c r="F78" s="4">
        <v>43778</v>
      </c>
      <c r="G78" s="2" t="s">
        <v>10</v>
      </c>
    </row>
    <row r="79" spans="1:7" x14ac:dyDescent="0.35">
      <c r="A79" s="2">
        <v>78</v>
      </c>
      <c r="B79" t="s">
        <v>14</v>
      </c>
      <c r="C79" t="s">
        <v>24</v>
      </c>
      <c r="D79" t="s">
        <v>9</v>
      </c>
      <c r="E79" s="3">
        <v>950</v>
      </c>
      <c r="F79" s="4">
        <v>43796</v>
      </c>
      <c r="G79" s="2" t="s">
        <v>10</v>
      </c>
    </row>
    <row r="80" spans="1:7" x14ac:dyDescent="0.35">
      <c r="A80" s="2">
        <v>79</v>
      </c>
      <c r="B80" t="s">
        <v>16</v>
      </c>
      <c r="C80" t="s">
        <v>25</v>
      </c>
      <c r="D80" t="s">
        <v>9</v>
      </c>
      <c r="E80" s="3">
        <v>1500</v>
      </c>
      <c r="F80" s="4">
        <v>43634</v>
      </c>
      <c r="G80" s="2" t="s">
        <v>10</v>
      </c>
    </row>
    <row r="81" spans="1:7" x14ac:dyDescent="0.35">
      <c r="A81" s="2">
        <v>80</v>
      </c>
      <c r="B81" t="s">
        <v>18</v>
      </c>
      <c r="C81" t="s">
        <v>24</v>
      </c>
      <c r="D81" t="s">
        <v>9</v>
      </c>
      <c r="E81" s="3">
        <v>5000</v>
      </c>
      <c r="F81" s="4">
        <v>44287</v>
      </c>
      <c r="G81" s="2" t="s">
        <v>10</v>
      </c>
    </row>
    <row r="82" spans="1:7" x14ac:dyDescent="0.35">
      <c r="A82" s="2">
        <v>81</v>
      </c>
      <c r="B82" t="s">
        <v>20</v>
      </c>
      <c r="C82" t="s">
        <v>25</v>
      </c>
      <c r="D82" t="s">
        <v>9</v>
      </c>
      <c r="E82" s="3">
        <v>6500</v>
      </c>
      <c r="F82" s="4">
        <v>44485</v>
      </c>
      <c r="G82" s="2" t="s">
        <v>10</v>
      </c>
    </row>
    <row r="83" spans="1:7" x14ac:dyDescent="0.35">
      <c r="A83" s="2">
        <v>82</v>
      </c>
      <c r="B83" t="s">
        <v>7</v>
      </c>
      <c r="C83" t="s">
        <v>27</v>
      </c>
      <c r="D83" t="s">
        <v>22</v>
      </c>
      <c r="E83" s="3">
        <v>8500</v>
      </c>
      <c r="F83" s="4">
        <v>43717</v>
      </c>
      <c r="G83" s="2" t="s">
        <v>10</v>
      </c>
    </row>
    <row r="84" spans="1:7" x14ac:dyDescent="0.35">
      <c r="A84" s="2">
        <v>83</v>
      </c>
      <c r="B84" t="s">
        <v>11</v>
      </c>
      <c r="C84" t="s">
        <v>19</v>
      </c>
      <c r="D84" t="s">
        <v>9</v>
      </c>
      <c r="E84" s="3">
        <v>1200</v>
      </c>
      <c r="F84" s="4">
        <v>44191</v>
      </c>
      <c r="G84" s="2" t="s">
        <v>10</v>
      </c>
    </row>
    <row r="85" spans="1:7" x14ac:dyDescent="0.35">
      <c r="A85" s="2">
        <v>84</v>
      </c>
      <c r="B85" t="s">
        <v>14</v>
      </c>
      <c r="C85" t="s">
        <v>8</v>
      </c>
      <c r="D85" t="s">
        <v>9</v>
      </c>
      <c r="E85" s="3">
        <v>300</v>
      </c>
      <c r="F85" s="4">
        <v>43657</v>
      </c>
      <c r="G85" s="2" t="s">
        <v>26</v>
      </c>
    </row>
    <row r="86" spans="1:7" x14ac:dyDescent="0.35">
      <c r="A86" s="2">
        <v>85</v>
      </c>
      <c r="B86" t="s">
        <v>16</v>
      </c>
      <c r="C86" t="s">
        <v>12</v>
      </c>
      <c r="D86" t="s">
        <v>13</v>
      </c>
      <c r="E86" s="3">
        <v>200</v>
      </c>
      <c r="F86" s="4">
        <v>43518</v>
      </c>
      <c r="G86" s="2" t="s">
        <v>26</v>
      </c>
    </row>
    <row r="87" spans="1:7" x14ac:dyDescent="0.35">
      <c r="A87" s="2">
        <v>86</v>
      </c>
      <c r="B87" t="s">
        <v>18</v>
      </c>
      <c r="C87" t="s">
        <v>15</v>
      </c>
      <c r="D87" t="s">
        <v>13</v>
      </c>
      <c r="E87" s="3">
        <v>150</v>
      </c>
      <c r="F87" s="4">
        <v>43855</v>
      </c>
      <c r="G87" s="2" t="s">
        <v>26</v>
      </c>
    </row>
    <row r="88" spans="1:7" x14ac:dyDescent="0.35">
      <c r="A88" s="2">
        <v>87</v>
      </c>
      <c r="B88" t="s">
        <v>20</v>
      </c>
      <c r="C88" t="s">
        <v>17</v>
      </c>
      <c r="D88" t="s">
        <v>13</v>
      </c>
      <c r="E88" s="3">
        <v>120</v>
      </c>
      <c r="F88" s="4">
        <v>44113</v>
      </c>
      <c r="G88" s="2" t="s">
        <v>26</v>
      </c>
    </row>
    <row r="89" spans="1:7" x14ac:dyDescent="0.35">
      <c r="A89" s="2">
        <v>88</v>
      </c>
      <c r="B89" t="s">
        <v>7</v>
      </c>
      <c r="C89" t="s">
        <v>21</v>
      </c>
      <c r="D89" t="s">
        <v>22</v>
      </c>
      <c r="E89" s="3">
        <v>300</v>
      </c>
      <c r="F89" s="4">
        <v>44327</v>
      </c>
      <c r="G89" s="2" t="s">
        <v>26</v>
      </c>
    </row>
    <row r="90" spans="1:7" x14ac:dyDescent="0.35">
      <c r="A90" s="2">
        <v>89</v>
      </c>
      <c r="B90" t="s">
        <v>7</v>
      </c>
      <c r="C90" t="s">
        <v>23</v>
      </c>
      <c r="D90" t="s">
        <v>22</v>
      </c>
      <c r="E90" s="3">
        <v>350</v>
      </c>
      <c r="F90" s="4">
        <v>43727</v>
      </c>
      <c r="G90" s="2" t="s">
        <v>26</v>
      </c>
    </row>
    <row r="91" spans="1:7" x14ac:dyDescent="0.35">
      <c r="A91" s="2">
        <v>90</v>
      </c>
      <c r="B91" t="s">
        <v>11</v>
      </c>
      <c r="C91" t="s">
        <v>24</v>
      </c>
      <c r="D91" t="s">
        <v>9</v>
      </c>
      <c r="E91" s="3">
        <v>300</v>
      </c>
      <c r="F91" s="4">
        <v>43675</v>
      </c>
      <c r="G91" s="2" t="s">
        <v>26</v>
      </c>
    </row>
    <row r="92" spans="1:7" x14ac:dyDescent="0.35">
      <c r="A92" s="2">
        <v>91</v>
      </c>
      <c r="B92" t="s">
        <v>14</v>
      </c>
      <c r="C92" t="s">
        <v>8</v>
      </c>
      <c r="D92" t="s">
        <v>9</v>
      </c>
      <c r="E92" s="3">
        <v>120</v>
      </c>
      <c r="F92" s="4">
        <v>43720</v>
      </c>
      <c r="G92" s="2" t="s">
        <v>10</v>
      </c>
    </row>
    <row r="93" spans="1:7" x14ac:dyDescent="0.35">
      <c r="A93" s="2">
        <v>92</v>
      </c>
      <c r="B93" t="s">
        <v>16</v>
      </c>
      <c r="C93" t="s">
        <v>12</v>
      </c>
      <c r="D93" t="s">
        <v>13</v>
      </c>
      <c r="E93" s="3">
        <v>150</v>
      </c>
      <c r="F93" s="4">
        <v>44543</v>
      </c>
      <c r="G93" s="2" t="s">
        <v>10</v>
      </c>
    </row>
    <row r="94" spans="1:7" x14ac:dyDescent="0.35">
      <c r="A94" s="2">
        <v>93</v>
      </c>
      <c r="B94" t="s">
        <v>18</v>
      </c>
      <c r="C94" t="s">
        <v>15</v>
      </c>
      <c r="D94" t="s">
        <v>13</v>
      </c>
      <c r="E94" s="3">
        <v>1200</v>
      </c>
      <c r="F94" s="4">
        <v>44020</v>
      </c>
      <c r="G94" s="2" t="s">
        <v>10</v>
      </c>
    </row>
    <row r="95" spans="1:7" x14ac:dyDescent="0.35">
      <c r="A95" s="2">
        <v>94</v>
      </c>
      <c r="B95" t="s">
        <v>20</v>
      </c>
      <c r="C95" t="s">
        <v>17</v>
      </c>
      <c r="D95" t="s">
        <v>13</v>
      </c>
      <c r="E95" s="3">
        <v>800</v>
      </c>
      <c r="F95" s="4">
        <v>44031</v>
      </c>
      <c r="G95" s="2" t="s">
        <v>10</v>
      </c>
    </row>
    <row r="96" spans="1:7" x14ac:dyDescent="0.35">
      <c r="A96" s="2">
        <v>95</v>
      </c>
      <c r="B96" t="s">
        <v>7</v>
      </c>
      <c r="C96" t="s">
        <v>19</v>
      </c>
      <c r="D96" t="s">
        <v>9</v>
      </c>
      <c r="E96" s="3">
        <v>750</v>
      </c>
      <c r="F96" s="4">
        <v>44127</v>
      </c>
      <c r="G96" s="2" t="s">
        <v>10</v>
      </c>
    </row>
    <row r="97" spans="1:7" x14ac:dyDescent="0.35">
      <c r="A97" s="2">
        <v>96</v>
      </c>
      <c r="B97" t="s">
        <v>11</v>
      </c>
      <c r="C97" t="s">
        <v>8</v>
      </c>
      <c r="D97" t="s">
        <v>9</v>
      </c>
      <c r="E97" s="3">
        <v>4500</v>
      </c>
      <c r="F97" s="4">
        <v>43752</v>
      </c>
      <c r="G97" s="2" t="s">
        <v>10</v>
      </c>
    </row>
    <row r="98" spans="1:7" x14ac:dyDescent="0.35">
      <c r="A98" s="2">
        <v>97</v>
      </c>
      <c r="B98" t="s">
        <v>14</v>
      </c>
      <c r="C98" t="s">
        <v>12</v>
      </c>
      <c r="D98" t="s">
        <v>13</v>
      </c>
      <c r="E98" s="3">
        <v>500</v>
      </c>
      <c r="F98" s="4">
        <v>43785</v>
      </c>
      <c r="G98" s="2" t="s">
        <v>10</v>
      </c>
    </row>
    <row r="99" spans="1:7" x14ac:dyDescent="0.35">
      <c r="A99" s="2">
        <v>98</v>
      </c>
      <c r="B99" t="s">
        <v>16</v>
      </c>
      <c r="C99" t="s">
        <v>12</v>
      </c>
      <c r="D99" t="s">
        <v>13</v>
      </c>
      <c r="E99" s="3">
        <v>750</v>
      </c>
      <c r="F99" s="4">
        <v>43915</v>
      </c>
      <c r="G99" s="2" t="s">
        <v>10</v>
      </c>
    </row>
    <row r="100" spans="1:7" x14ac:dyDescent="0.35">
      <c r="A100" s="2">
        <v>99</v>
      </c>
      <c r="B100" t="s">
        <v>18</v>
      </c>
      <c r="C100" t="s">
        <v>15</v>
      </c>
      <c r="D100" t="s">
        <v>13</v>
      </c>
      <c r="E100" s="3">
        <v>950</v>
      </c>
      <c r="F100" s="4">
        <v>44305</v>
      </c>
      <c r="G100" s="2" t="s">
        <v>10</v>
      </c>
    </row>
    <row r="101" spans="1:7" x14ac:dyDescent="0.35">
      <c r="A101" s="2">
        <v>100</v>
      </c>
      <c r="B101" t="s">
        <v>20</v>
      </c>
      <c r="C101" t="s">
        <v>17</v>
      </c>
      <c r="D101" t="s">
        <v>13</v>
      </c>
      <c r="E101" s="3">
        <v>680</v>
      </c>
      <c r="F101" s="4">
        <v>44495</v>
      </c>
      <c r="G101" s="2" t="s">
        <v>10</v>
      </c>
    </row>
    <row r="102" spans="1:7" x14ac:dyDescent="0.35">
      <c r="A102" s="2">
        <v>101</v>
      </c>
      <c r="B102" t="s">
        <v>7</v>
      </c>
      <c r="C102" t="s">
        <v>21</v>
      </c>
      <c r="D102" t="s">
        <v>22</v>
      </c>
      <c r="E102" s="3">
        <v>950</v>
      </c>
      <c r="F102" s="4">
        <v>43910</v>
      </c>
      <c r="G102" s="2" t="s">
        <v>10</v>
      </c>
    </row>
    <row r="103" spans="1:7" x14ac:dyDescent="0.35">
      <c r="A103" s="2">
        <v>102</v>
      </c>
      <c r="B103" t="s">
        <v>11</v>
      </c>
      <c r="C103" t="s">
        <v>23</v>
      </c>
      <c r="D103" t="s">
        <v>22</v>
      </c>
      <c r="E103" s="3">
        <v>1500</v>
      </c>
      <c r="F103" s="4">
        <v>44287</v>
      </c>
      <c r="G103" s="2" t="s">
        <v>10</v>
      </c>
    </row>
    <row r="104" spans="1:7" x14ac:dyDescent="0.35">
      <c r="A104" s="2">
        <v>103</v>
      </c>
      <c r="B104" t="s">
        <v>14</v>
      </c>
      <c r="C104" t="s">
        <v>24</v>
      </c>
      <c r="D104" t="s">
        <v>9</v>
      </c>
      <c r="E104" s="3">
        <v>5000</v>
      </c>
      <c r="F104" s="4">
        <v>43869</v>
      </c>
      <c r="G104" s="2" t="s">
        <v>10</v>
      </c>
    </row>
    <row r="105" spans="1:7" x14ac:dyDescent="0.35">
      <c r="A105" s="2">
        <v>104</v>
      </c>
      <c r="B105" t="s">
        <v>20</v>
      </c>
      <c r="C105" t="s">
        <v>25</v>
      </c>
      <c r="D105" t="s">
        <v>9</v>
      </c>
      <c r="E105" s="3">
        <v>6500</v>
      </c>
      <c r="F105" s="4">
        <v>44368</v>
      </c>
      <c r="G105" s="2" t="s">
        <v>10</v>
      </c>
    </row>
    <row r="106" spans="1:7" x14ac:dyDescent="0.35">
      <c r="A106" s="2">
        <v>105</v>
      </c>
      <c r="B106" t="s">
        <v>7</v>
      </c>
      <c r="C106" t="s">
        <v>24</v>
      </c>
      <c r="D106" t="s">
        <v>9</v>
      </c>
      <c r="E106" s="3">
        <v>8500</v>
      </c>
      <c r="F106" s="4">
        <v>44206</v>
      </c>
      <c r="G106" s="2" t="s">
        <v>10</v>
      </c>
    </row>
    <row r="107" spans="1:7" x14ac:dyDescent="0.35">
      <c r="A107" s="2">
        <v>106</v>
      </c>
      <c r="B107" t="s">
        <v>11</v>
      </c>
      <c r="C107" t="s">
        <v>25</v>
      </c>
      <c r="D107" t="s">
        <v>9</v>
      </c>
      <c r="E107" s="3">
        <v>1200</v>
      </c>
      <c r="F107" s="4">
        <v>43891</v>
      </c>
      <c r="G107" s="2" t="s">
        <v>10</v>
      </c>
    </row>
    <row r="108" spans="1:7" x14ac:dyDescent="0.35">
      <c r="A108" s="2">
        <v>107</v>
      </c>
      <c r="B108" t="s">
        <v>14</v>
      </c>
      <c r="C108" t="s">
        <v>27</v>
      </c>
      <c r="D108" t="s">
        <v>22</v>
      </c>
      <c r="E108" s="3">
        <v>300</v>
      </c>
      <c r="F108" s="4">
        <v>44080</v>
      </c>
      <c r="G108" s="2" t="s">
        <v>10</v>
      </c>
    </row>
    <row r="109" spans="1:7" x14ac:dyDescent="0.35">
      <c r="A109" s="2">
        <v>108</v>
      </c>
      <c r="B109" t="s">
        <v>16</v>
      </c>
      <c r="C109" t="s">
        <v>19</v>
      </c>
      <c r="D109" t="s">
        <v>9</v>
      </c>
      <c r="E109" s="3">
        <v>200</v>
      </c>
      <c r="F109" s="4">
        <v>44183</v>
      </c>
      <c r="G109" s="2" t="s">
        <v>10</v>
      </c>
    </row>
    <row r="110" spans="1:7" x14ac:dyDescent="0.35">
      <c r="A110" s="2">
        <v>109</v>
      </c>
      <c r="B110" t="s">
        <v>18</v>
      </c>
      <c r="C110" t="s">
        <v>8</v>
      </c>
      <c r="D110" t="s">
        <v>9</v>
      </c>
      <c r="E110" s="3">
        <v>150</v>
      </c>
      <c r="F110" s="4">
        <v>43538</v>
      </c>
      <c r="G110" s="2" t="s">
        <v>10</v>
      </c>
    </row>
    <row r="111" spans="1:7" x14ac:dyDescent="0.35">
      <c r="A111" s="2">
        <v>110</v>
      </c>
      <c r="B111" t="s">
        <v>20</v>
      </c>
      <c r="C111" t="s">
        <v>12</v>
      </c>
      <c r="D111" t="s">
        <v>13</v>
      </c>
      <c r="E111" s="3">
        <v>120</v>
      </c>
      <c r="F111" s="4">
        <v>44081</v>
      </c>
      <c r="G111" s="2" t="s">
        <v>10</v>
      </c>
    </row>
    <row r="112" spans="1:7" x14ac:dyDescent="0.35">
      <c r="A112" s="2">
        <v>111</v>
      </c>
      <c r="B112" t="s">
        <v>7</v>
      </c>
      <c r="C112" t="s">
        <v>15</v>
      </c>
      <c r="D112" t="s">
        <v>13</v>
      </c>
      <c r="E112" s="3">
        <v>300</v>
      </c>
      <c r="F112" s="4">
        <v>44170</v>
      </c>
      <c r="G112" s="2" t="s">
        <v>26</v>
      </c>
    </row>
    <row r="113" spans="1:7" x14ac:dyDescent="0.35">
      <c r="A113" s="2">
        <v>112</v>
      </c>
      <c r="B113" t="s">
        <v>11</v>
      </c>
      <c r="C113" t="s">
        <v>17</v>
      </c>
      <c r="D113" t="s">
        <v>13</v>
      </c>
      <c r="E113" s="3">
        <v>350</v>
      </c>
      <c r="F113" s="4">
        <v>43967</v>
      </c>
      <c r="G113" s="2" t="s">
        <v>26</v>
      </c>
    </row>
    <row r="114" spans="1:7" x14ac:dyDescent="0.35">
      <c r="A114" s="2">
        <v>113</v>
      </c>
      <c r="B114" t="s">
        <v>14</v>
      </c>
      <c r="C114" t="s">
        <v>21</v>
      </c>
      <c r="D114" t="s">
        <v>22</v>
      </c>
      <c r="E114" s="3">
        <v>300</v>
      </c>
      <c r="F114" s="4">
        <v>44384</v>
      </c>
      <c r="G114" s="2" t="s">
        <v>26</v>
      </c>
    </row>
    <row r="115" spans="1:7" x14ac:dyDescent="0.35">
      <c r="A115" s="2">
        <v>114</v>
      </c>
      <c r="B115" t="s">
        <v>16</v>
      </c>
      <c r="C115" t="s">
        <v>23</v>
      </c>
      <c r="D115" t="s">
        <v>22</v>
      </c>
      <c r="E115" s="3">
        <v>120</v>
      </c>
      <c r="F115" s="4">
        <v>43752</v>
      </c>
      <c r="G115" s="2" t="s">
        <v>26</v>
      </c>
    </row>
    <row r="116" spans="1:7" x14ac:dyDescent="0.35">
      <c r="A116" s="2">
        <v>115</v>
      </c>
      <c r="B116" t="s">
        <v>11</v>
      </c>
      <c r="C116" t="s">
        <v>24</v>
      </c>
      <c r="D116" t="s">
        <v>9</v>
      </c>
      <c r="E116" s="3">
        <v>150</v>
      </c>
      <c r="F116" s="4">
        <v>44007</v>
      </c>
      <c r="G116" s="2" t="s">
        <v>26</v>
      </c>
    </row>
    <row r="117" spans="1:7" x14ac:dyDescent="0.35">
      <c r="A117" s="2">
        <v>116</v>
      </c>
      <c r="B117" t="s">
        <v>14</v>
      </c>
      <c r="C117" t="s">
        <v>8</v>
      </c>
      <c r="D117" t="s">
        <v>9</v>
      </c>
      <c r="E117" s="3">
        <v>8500</v>
      </c>
      <c r="F117" s="4">
        <v>44242</v>
      </c>
      <c r="G117" s="2" t="s">
        <v>26</v>
      </c>
    </row>
    <row r="118" spans="1:7" x14ac:dyDescent="0.35">
      <c r="A118" s="2">
        <v>117</v>
      </c>
      <c r="B118" t="s">
        <v>16</v>
      </c>
      <c r="C118" t="s">
        <v>12</v>
      </c>
      <c r="D118" t="s">
        <v>13</v>
      </c>
      <c r="E118" s="3">
        <v>1200</v>
      </c>
      <c r="F118" s="4">
        <v>44012</v>
      </c>
      <c r="G118" s="2" t="s">
        <v>26</v>
      </c>
    </row>
    <row r="119" spans="1:7" x14ac:dyDescent="0.35">
      <c r="A119" s="2">
        <v>118</v>
      </c>
      <c r="B119" t="s">
        <v>18</v>
      </c>
      <c r="C119" t="s">
        <v>12</v>
      </c>
      <c r="D119" t="s">
        <v>13</v>
      </c>
      <c r="E119" s="3">
        <v>300</v>
      </c>
      <c r="F119" s="4">
        <v>43811</v>
      </c>
      <c r="G119" s="2" t="s">
        <v>10</v>
      </c>
    </row>
    <row r="120" spans="1:7" x14ac:dyDescent="0.35">
      <c r="A120" s="2">
        <v>119</v>
      </c>
      <c r="B120" t="s">
        <v>20</v>
      </c>
      <c r="C120" t="s">
        <v>15</v>
      </c>
      <c r="D120" t="s">
        <v>13</v>
      </c>
      <c r="E120" s="3">
        <v>200</v>
      </c>
      <c r="F120" s="4">
        <v>43745</v>
      </c>
      <c r="G120" s="2" t="s">
        <v>10</v>
      </c>
    </row>
    <row r="121" spans="1:7" x14ac:dyDescent="0.35">
      <c r="A121" s="2">
        <v>120</v>
      </c>
      <c r="B121" t="s">
        <v>7</v>
      </c>
      <c r="C121" t="s">
        <v>17</v>
      </c>
      <c r="D121" t="s">
        <v>13</v>
      </c>
      <c r="E121" s="3">
        <v>150</v>
      </c>
      <c r="F121" s="4">
        <v>44133</v>
      </c>
      <c r="G121" s="2" t="s">
        <v>10</v>
      </c>
    </row>
    <row r="122" spans="1:7" x14ac:dyDescent="0.35">
      <c r="A122" s="2">
        <v>121</v>
      </c>
      <c r="B122" t="s">
        <v>11</v>
      </c>
      <c r="C122" t="s">
        <v>21</v>
      </c>
      <c r="D122" t="s">
        <v>22</v>
      </c>
      <c r="E122" s="3">
        <v>120</v>
      </c>
      <c r="F122" s="4">
        <v>44196</v>
      </c>
      <c r="G122" s="2" t="s">
        <v>10</v>
      </c>
    </row>
    <row r="123" spans="1:7" x14ac:dyDescent="0.35">
      <c r="A123" s="2">
        <v>122</v>
      </c>
      <c r="B123" t="s">
        <v>14</v>
      </c>
      <c r="C123" t="s">
        <v>23</v>
      </c>
      <c r="D123" t="s">
        <v>22</v>
      </c>
      <c r="E123" s="3">
        <v>300</v>
      </c>
      <c r="F123" s="4">
        <v>43615</v>
      </c>
      <c r="G123" s="2" t="s">
        <v>10</v>
      </c>
    </row>
    <row r="124" spans="1:7" x14ac:dyDescent="0.35">
      <c r="A124" s="2">
        <v>123</v>
      </c>
      <c r="B124" t="s">
        <v>20</v>
      </c>
      <c r="C124" t="s">
        <v>24</v>
      </c>
      <c r="D124" t="s">
        <v>9</v>
      </c>
      <c r="E124" s="3">
        <v>350</v>
      </c>
      <c r="F124" s="4">
        <v>44524</v>
      </c>
      <c r="G124" s="2" t="s">
        <v>10</v>
      </c>
    </row>
    <row r="125" spans="1:7" x14ac:dyDescent="0.35">
      <c r="A125" s="2">
        <v>124</v>
      </c>
      <c r="B125" t="s">
        <v>7</v>
      </c>
      <c r="C125" t="s">
        <v>25</v>
      </c>
      <c r="D125" t="s">
        <v>9</v>
      </c>
      <c r="E125" s="3">
        <v>300</v>
      </c>
      <c r="F125" s="4">
        <v>43639</v>
      </c>
      <c r="G125" s="2" t="s">
        <v>10</v>
      </c>
    </row>
    <row r="126" spans="1:7" x14ac:dyDescent="0.35">
      <c r="A126" s="2">
        <v>125</v>
      </c>
      <c r="B126" t="s">
        <v>11</v>
      </c>
      <c r="C126" t="s">
        <v>24</v>
      </c>
      <c r="D126" t="s">
        <v>9</v>
      </c>
      <c r="E126" s="3">
        <v>120</v>
      </c>
      <c r="F126" s="4">
        <v>43946</v>
      </c>
      <c r="G126" s="2" t="s">
        <v>10</v>
      </c>
    </row>
    <row r="127" spans="1:7" x14ac:dyDescent="0.35">
      <c r="A127" s="2">
        <v>126</v>
      </c>
      <c r="B127" t="s">
        <v>14</v>
      </c>
      <c r="C127" t="s">
        <v>25</v>
      </c>
      <c r="D127" t="s">
        <v>9</v>
      </c>
      <c r="E127" s="3">
        <v>150</v>
      </c>
      <c r="F127" s="4">
        <v>43470</v>
      </c>
      <c r="G127" s="2" t="s">
        <v>10</v>
      </c>
    </row>
    <row r="128" spans="1:7" x14ac:dyDescent="0.35">
      <c r="A128" s="2">
        <v>127</v>
      </c>
      <c r="B128" t="s">
        <v>16</v>
      </c>
      <c r="C128" t="s">
        <v>27</v>
      </c>
      <c r="D128" t="s">
        <v>22</v>
      </c>
      <c r="E128" s="3">
        <v>1200</v>
      </c>
      <c r="F128" s="4">
        <v>43888</v>
      </c>
      <c r="G128" s="2" t="s">
        <v>10</v>
      </c>
    </row>
    <row r="129" spans="1:7" x14ac:dyDescent="0.35">
      <c r="A129" s="2">
        <v>128</v>
      </c>
      <c r="B129" t="s">
        <v>18</v>
      </c>
      <c r="C129" t="s">
        <v>19</v>
      </c>
      <c r="D129" t="s">
        <v>9</v>
      </c>
      <c r="E129" s="3">
        <v>800</v>
      </c>
      <c r="F129" s="4">
        <v>44379</v>
      </c>
      <c r="G129" s="2" t="s">
        <v>10</v>
      </c>
    </row>
    <row r="130" spans="1:7" x14ac:dyDescent="0.35">
      <c r="A130" s="2">
        <v>129</v>
      </c>
      <c r="B130" t="s">
        <v>20</v>
      </c>
      <c r="C130" t="s">
        <v>8</v>
      </c>
      <c r="D130" t="s">
        <v>9</v>
      </c>
      <c r="E130" s="3">
        <v>750</v>
      </c>
      <c r="F130" s="4">
        <v>43664</v>
      </c>
      <c r="G130" s="2" t="s">
        <v>10</v>
      </c>
    </row>
    <row r="131" spans="1:7" x14ac:dyDescent="0.35">
      <c r="A131" s="2">
        <v>130</v>
      </c>
      <c r="B131" t="s">
        <v>7</v>
      </c>
      <c r="C131" t="s">
        <v>12</v>
      </c>
      <c r="D131" t="s">
        <v>13</v>
      </c>
      <c r="E131" s="3">
        <v>4500</v>
      </c>
      <c r="F131" s="4">
        <v>44173</v>
      </c>
      <c r="G131" s="2" t="s">
        <v>10</v>
      </c>
    </row>
    <row r="132" spans="1:7" x14ac:dyDescent="0.35">
      <c r="A132" s="2">
        <v>131</v>
      </c>
      <c r="B132" t="s">
        <v>11</v>
      </c>
      <c r="C132" t="s">
        <v>15</v>
      </c>
      <c r="D132" t="s">
        <v>13</v>
      </c>
      <c r="E132" s="3">
        <v>500</v>
      </c>
      <c r="F132" s="4">
        <v>43918</v>
      </c>
      <c r="G132" s="2" t="s">
        <v>10</v>
      </c>
    </row>
    <row r="133" spans="1:7" x14ac:dyDescent="0.35">
      <c r="A133" s="2">
        <v>132</v>
      </c>
      <c r="B133" t="s">
        <v>14</v>
      </c>
      <c r="C133" t="s">
        <v>17</v>
      </c>
      <c r="D133" t="s">
        <v>13</v>
      </c>
      <c r="E133" s="3">
        <v>750</v>
      </c>
      <c r="F133" s="4">
        <v>44391</v>
      </c>
      <c r="G133" s="2" t="s">
        <v>10</v>
      </c>
    </row>
    <row r="134" spans="1:7" x14ac:dyDescent="0.35">
      <c r="A134" s="2">
        <v>133</v>
      </c>
      <c r="B134" t="s">
        <v>16</v>
      </c>
      <c r="C134" t="s">
        <v>21</v>
      </c>
      <c r="D134" t="s">
        <v>22</v>
      </c>
      <c r="E134" s="3">
        <v>950</v>
      </c>
      <c r="F134" s="4">
        <v>44255</v>
      </c>
      <c r="G134" s="2" t="s">
        <v>10</v>
      </c>
    </row>
    <row r="135" spans="1:7" x14ac:dyDescent="0.35">
      <c r="A135" s="2">
        <v>134</v>
      </c>
      <c r="B135" t="s">
        <v>18</v>
      </c>
      <c r="C135" t="s">
        <v>23</v>
      </c>
      <c r="D135" t="s">
        <v>22</v>
      </c>
      <c r="E135" s="3">
        <v>680</v>
      </c>
      <c r="F135" s="4">
        <v>43521</v>
      </c>
      <c r="G135" s="2" t="s">
        <v>10</v>
      </c>
    </row>
    <row r="136" spans="1:7" x14ac:dyDescent="0.35">
      <c r="A136" s="2">
        <v>135</v>
      </c>
      <c r="B136" t="s">
        <v>20</v>
      </c>
      <c r="C136" t="s">
        <v>24</v>
      </c>
      <c r="D136" t="s">
        <v>9</v>
      </c>
      <c r="E136" s="3">
        <v>950</v>
      </c>
      <c r="F136" s="4">
        <v>44331</v>
      </c>
      <c r="G136" s="2" t="s">
        <v>10</v>
      </c>
    </row>
    <row r="137" spans="1:7" x14ac:dyDescent="0.35">
      <c r="A137" s="2">
        <v>136</v>
      </c>
      <c r="B137" t="s">
        <v>7</v>
      </c>
      <c r="C137" t="s">
        <v>8</v>
      </c>
      <c r="D137" t="s">
        <v>9</v>
      </c>
      <c r="E137" s="3">
        <v>1500</v>
      </c>
      <c r="F137" s="4">
        <v>44356</v>
      </c>
      <c r="G137" s="2" t="s">
        <v>10</v>
      </c>
    </row>
    <row r="138" spans="1:7" x14ac:dyDescent="0.35">
      <c r="A138" s="2">
        <v>137</v>
      </c>
      <c r="B138" t="s">
        <v>11</v>
      </c>
      <c r="C138" t="s">
        <v>12</v>
      </c>
      <c r="D138" t="s">
        <v>13</v>
      </c>
      <c r="E138" s="3">
        <v>5000</v>
      </c>
      <c r="F138" s="4">
        <v>44195</v>
      </c>
      <c r="G138" s="2" t="s">
        <v>10</v>
      </c>
    </row>
    <row r="139" spans="1:7" x14ac:dyDescent="0.35">
      <c r="A139" s="2">
        <v>138</v>
      </c>
      <c r="B139" t="s">
        <v>14</v>
      </c>
      <c r="C139" t="s">
        <v>15</v>
      </c>
      <c r="D139" t="s">
        <v>13</v>
      </c>
      <c r="E139" s="3">
        <v>6500</v>
      </c>
      <c r="F139" s="4">
        <v>43653</v>
      </c>
      <c r="G139" s="2" t="s">
        <v>10</v>
      </c>
    </row>
    <row r="140" spans="1:7" x14ac:dyDescent="0.35">
      <c r="A140" s="2">
        <v>139</v>
      </c>
      <c r="B140" t="s">
        <v>16</v>
      </c>
      <c r="C140" t="s">
        <v>17</v>
      </c>
      <c r="D140" t="s">
        <v>13</v>
      </c>
      <c r="E140" s="3">
        <v>1200</v>
      </c>
      <c r="F140" s="4">
        <v>44516</v>
      </c>
      <c r="G140" s="2" t="s">
        <v>26</v>
      </c>
    </row>
    <row r="141" spans="1:7" x14ac:dyDescent="0.35">
      <c r="A141" s="2">
        <v>140</v>
      </c>
      <c r="B141" t="s">
        <v>18</v>
      </c>
      <c r="C141" t="s">
        <v>19</v>
      </c>
      <c r="D141" t="s">
        <v>9</v>
      </c>
      <c r="E141" s="3">
        <v>800</v>
      </c>
      <c r="F141" s="4">
        <v>44199</v>
      </c>
      <c r="G141" s="2" t="s">
        <v>26</v>
      </c>
    </row>
    <row r="142" spans="1:7" x14ac:dyDescent="0.35">
      <c r="A142" s="2">
        <v>141</v>
      </c>
      <c r="B142" t="s">
        <v>20</v>
      </c>
      <c r="C142" t="s">
        <v>8</v>
      </c>
      <c r="D142" t="s">
        <v>9</v>
      </c>
      <c r="E142" s="3">
        <v>750</v>
      </c>
      <c r="F142" s="4">
        <v>43712</v>
      </c>
      <c r="G142" s="2" t="s">
        <v>26</v>
      </c>
    </row>
    <row r="143" spans="1:7" x14ac:dyDescent="0.35">
      <c r="A143" s="2">
        <v>142</v>
      </c>
      <c r="B143" t="s">
        <v>7</v>
      </c>
      <c r="C143" t="s">
        <v>12</v>
      </c>
      <c r="D143" t="s">
        <v>13</v>
      </c>
      <c r="E143" s="3">
        <v>4500</v>
      </c>
      <c r="F143" s="4">
        <v>44254</v>
      </c>
      <c r="G143" s="2" t="s">
        <v>26</v>
      </c>
    </row>
    <row r="144" spans="1:7" x14ac:dyDescent="0.35">
      <c r="A144" s="2">
        <v>143</v>
      </c>
      <c r="B144" t="s">
        <v>11</v>
      </c>
      <c r="C144" t="s">
        <v>12</v>
      </c>
      <c r="D144" t="s">
        <v>13</v>
      </c>
      <c r="E144" s="3">
        <v>500</v>
      </c>
      <c r="F144" s="4">
        <v>43906</v>
      </c>
      <c r="G144" s="2" t="s">
        <v>26</v>
      </c>
    </row>
    <row r="145" spans="1:7" x14ac:dyDescent="0.35">
      <c r="A145" s="2">
        <v>144</v>
      </c>
      <c r="B145" t="s">
        <v>14</v>
      </c>
      <c r="C145" t="s">
        <v>15</v>
      </c>
      <c r="D145" t="s">
        <v>13</v>
      </c>
      <c r="E145" s="3">
        <v>750</v>
      </c>
      <c r="F145" s="4">
        <v>44112</v>
      </c>
      <c r="G145" s="2" t="s">
        <v>26</v>
      </c>
    </row>
    <row r="146" spans="1:7" x14ac:dyDescent="0.35">
      <c r="A146" s="2">
        <v>145</v>
      </c>
      <c r="B146" t="s">
        <v>16</v>
      </c>
      <c r="C146" t="s">
        <v>17</v>
      </c>
      <c r="D146" t="s">
        <v>13</v>
      </c>
      <c r="E146" s="3">
        <v>950</v>
      </c>
      <c r="F146" s="4">
        <v>44317</v>
      </c>
      <c r="G146" s="2" t="s">
        <v>26</v>
      </c>
    </row>
    <row r="147" spans="1:7" x14ac:dyDescent="0.35">
      <c r="A147" s="2">
        <v>146</v>
      </c>
      <c r="B147" t="s">
        <v>18</v>
      </c>
      <c r="C147" t="s">
        <v>21</v>
      </c>
      <c r="D147" t="s">
        <v>22</v>
      </c>
      <c r="E147" s="3">
        <v>680</v>
      </c>
      <c r="F147" s="4">
        <v>44550</v>
      </c>
      <c r="G147" s="2" t="s">
        <v>10</v>
      </c>
    </row>
    <row r="148" spans="1:7" x14ac:dyDescent="0.35">
      <c r="A148" s="2">
        <v>147</v>
      </c>
      <c r="B148" t="s">
        <v>20</v>
      </c>
      <c r="C148" t="s">
        <v>23</v>
      </c>
      <c r="D148" t="s">
        <v>22</v>
      </c>
      <c r="E148" s="3">
        <v>950</v>
      </c>
      <c r="F148" s="4">
        <v>43820</v>
      </c>
      <c r="G148" s="2" t="s">
        <v>10</v>
      </c>
    </row>
    <row r="149" spans="1:7" x14ac:dyDescent="0.35">
      <c r="A149" s="2">
        <v>148</v>
      </c>
      <c r="B149" t="s">
        <v>7</v>
      </c>
      <c r="C149" t="s">
        <v>24</v>
      </c>
      <c r="D149" t="s">
        <v>9</v>
      </c>
      <c r="E149" s="3">
        <v>1500</v>
      </c>
      <c r="F149" s="4">
        <v>44233</v>
      </c>
      <c r="G149" s="2" t="s">
        <v>10</v>
      </c>
    </row>
    <row r="150" spans="1:7" x14ac:dyDescent="0.35">
      <c r="A150" s="2">
        <v>149</v>
      </c>
      <c r="B150" t="s">
        <v>11</v>
      </c>
      <c r="C150" t="s">
        <v>25</v>
      </c>
      <c r="D150" t="s">
        <v>9</v>
      </c>
      <c r="E150" s="3">
        <v>5000</v>
      </c>
      <c r="F150" s="4">
        <v>44273</v>
      </c>
      <c r="G150" s="2" t="s">
        <v>10</v>
      </c>
    </row>
    <row r="151" spans="1:7" x14ac:dyDescent="0.35">
      <c r="A151" s="2">
        <v>150</v>
      </c>
      <c r="B151" t="s">
        <v>14</v>
      </c>
      <c r="C151" t="s">
        <v>24</v>
      </c>
      <c r="D151" t="s">
        <v>9</v>
      </c>
      <c r="E151" s="3">
        <v>6500</v>
      </c>
      <c r="F151" s="4">
        <v>43645</v>
      </c>
      <c r="G151" s="2" t="s">
        <v>10</v>
      </c>
    </row>
    <row r="152" spans="1:7" x14ac:dyDescent="0.35">
      <c r="A152" s="2">
        <v>151</v>
      </c>
      <c r="B152" t="s">
        <v>16</v>
      </c>
      <c r="C152" t="s">
        <v>25</v>
      </c>
      <c r="D152" t="s">
        <v>9</v>
      </c>
      <c r="E152" s="3">
        <v>8500</v>
      </c>
      <c r="F152" s="4">
        <v>44140</v>
      </c>
      <c r="G152" s="2" t="s">
        <v>10</v>
      </c>
    </row>
    <row r="153" spans="1:7" x14ac:dyDescent="0.35">
      <c r="A153" s="2">
        <v>152</v>
      </c>
      <c r="B153" t="s">
        <v>18</v>
      </c>
      <c r="C153" t="s">
        <v>27</v>
      </c>
      <c r="D153" t="s">
        <v>22</v>
      </c>
      <c r="E153" s="3">
        <v>1200</v>
      </c>
      <c r="F153" s="4">
        <v>43544</v>
      </c>
      <c r="G153" s="2" t="s">
        <v>10</v>
      </c>
    </row>
    <row r="154" spans="1:7" x14ac:dyDescent="0.35">
      <c r="A154" s="2">
        <v>153</v>
      </c>
      <c r="B154" t="s">
        <v>20</v>
      </c>
      <c r="C154" t="s">
        <v>19</v>
      </c>
      <c r="D154" t="s">
        <v>9</v>
      </c>
      <c r="E154" s="3">
        <v>300</v>
      </c>
      <c r="F154" s="4">
        <v>43708</v>
      </c>
      <c r="G154" s="2" t="s">
        <v>26</v>
      </c>
    </row>
    <row r="155" spans="1:7" x14ac:dyDescent="0.35">
      <c r="A155" s="2">
        <v>154</v>
      </c>
      <c r="B155" t="s">
        <v>7</v>
      </c>
      <c r="C155" t="s">
        <v>8</v>
      </c>
      <c r="D155" t="s">
        <v>9</v>
      </c>
      <c r="E155" s="3">
        <v>200</v>
      </c>
      <c r="F155" s="4">
        <v>44069</v>
      </c>
      <c r="G155" s="2" t="s">
        <v>26</v>
      </c>
    </row>
    <row r="156" spans="1:7" x14ac:dyDescent="0.35">
      <c r="A156" s="2">
        <v>155</v>
      </c>
      <c r="B156" t="s">
        <v>11</v>
      </c>
      <c r="C156" t="s">
        <v>12</v>
      </c>
      <c r="D156" t="s">
        <v>13</v>
      </c>
      <c r="E156" s="3">
        <v>150</v>
      </c>
      <c r="F156" s="4">
        <v>44222</v>
      </c>
      <c r="G156" s="2" t="s">
        <v>26</v>
      </c>
    </row>
    <row r="157" spans="1:7" x14ac:dyDescent="0.35">
      <c r="A157" s="2">
        <v>156</v>
      </c>
      <c r="B157" t="s">
        <v>14</v>
      </c>
      <c r="C157" t="s">
        <v>15</v>
      </c>
      <c r="D157" t="s">
        <v>13</v>
      </c>
      <c r="E157" s="3">
        <v>120</v>
      </c>
      <c r="F157" s="4">
        <v>44443</v>
      </c>
      <c r="G157" s="2" t="s">
        <v>26</v>
      </c>
    </row>
    <row r="158" spans="1:7" x14ac:dyDescent="0.35">
      <c r="A158" s="2">
        <v>157</v>
      </c>
      <c r="B158" t="s">
        <v>20</v>
      </c>
      <c r="C158" t="s">
        <v>17</v>
      </c>
      <c r="D158" t="s">
        <v>13</v>
      </c>
      <c r="E158" s="3">
        <v>300</v>
      </c>
      <c r="F158" s="4">
        <v>43987</v>
      </c>
      <c r="G158" s="2" t="s">
        <v>26</v>
      </c>
    </row>
    <row r="159" spans="1:7" x14ac:dyDescent="0.35">
      <c r="A159" s="2">
        <v>158</v>
      </c>
      <c r="B159" t="s">
        <v>7</v>
      </c>
      <c r="C159" t="s">
        <v>21</v>
      </c>
      <c r="D159" t="s">
        <v>22</v>
      </c>
      <c r="E159" s="3">
        <v>350</v>
      </c>
      <c r="F159" s="4">
        <v>44283</v>
      </c>
      <c r="G159" s="2" t="s">
        <v>26</v>
      </c>
    </row>
    <row r="160" spans="1:7" x14ac:dyDescent="0.35">
      <c r="A160" s="2">
        <v>159</v>
      </c>
      <c r="B160" t="s">
        <v>11</v>
      </c>
      <c r="C160" t="s">
        <v>23</v>
      </c>
      <c r="D160" t="s">
        <v>22</v>
      </c>
      <c r="E160" s="3">
        <v>300</v>
      </c>
      <c r="F160" s="4">
        <v>43678</v>
      </c>
      <c r="G160" s="2" t="s">
        <v>10</v>
      </c>
    </row>
    <row r="161" spans="1:7" x14ac:dyDescent="0.35">
      <c r="A161" s="2">
        <v>160</v>
      </c>
      <c r="B161" t="s">
        <v>14</v>
      </c>
      <c r="C161" t="s">
        <v>24</v>
      </c>
      <c r="D161" t="s">
        <v>9</v>
      </c>
      <c r="E161" s="3">
        <v>120</v>
      </c>
      <c r="F161" s="4">
        <v>43982</v>
      </c>
      <c r="G161" s="2" t="s">
        <v>10</v>
      </c>
    </row>
    <row r="162" spans="1:7" x14ac:dyDescent="0.35">
      <c r="A162" s="2">
        <v>161</v>
      </c>
      <c r="B162" t="s">
        <v>16</v>
      </c>
      <c r="C162" t="s">
        <v>8</v>
      </c>
      <c r="D162" t="s">
        <v>9</v>
      </c>
      <c r="E162" s="3">
        <v>150</v>
      </c>
      <c r="F162" s="4">
        <v>43919</v>
      </c>
      <c r="G162" s="2" t="s">
        <v>10</v>
      </c>
    </row>
    <row r="163" spans="1:7" x14ac:dyDescent="0.35">
      <c r="A163" s="2">
        <v>162</v>
      </c>
      <c r="B163" t="s">
        <v>18</v>
      </c>
      <c r="C163" t="s">
        <v>12</v>
      </c>
      <c r="D163" t="s">
        <v>13</v>
      </c>
      <c r="E163" s="3">
        <v>1200</v>
      </c>
      <c r="F163" s="4">
        <v>44326</v>
      </c>
      <c r="G163" s="2" t="s">
        <v>10</v>
      </c>
    </row>
    <row r="164" spans="1:7" x14ac:dyDescent="0.35">
      <c r="A164" s="2">
        <v>163</v>
      </c>
      <c r="B164" t="s">
        <v>20</v>
      </c>
      <c r="C164" t="s">
        <v>12</v>
      </c>
      <c r="D164" t="s">
        <v>13</v>
      </c>
      <c r="E164" s="3">
        <v>800</v>
      </c>
      <c r="F164" s="4">
        <v>44076</v>
      </c>
      <c r="G164" s="2" t="s">
        <v>10</v>
      </c>
    </row>
    <row r="165" spans="1:7" x14ac:dyDescent="0.35">
      <c r="A165" s="2">
        <v>164</v>
      </c>
      <c r="B165" t="s">
        <v>7</v>
      </c>
      <c r="C165" t="s">
        <v>15</v>
      </c>
      <c r="D165" t="s">
        <v>13</v>
      </c>
      <c r="E165" s="3">
        <v>750</v>
      </c>
      <c r="F165" s="4">
        <v>44452</v>
      </c>
      <c r="G165" s="2" t="s">
        <v>10</v>
      </c>
    </row>
    <row r="166" spans="1:7" x14ac:dyDescent="0.35">
      <c r="A166" s="2">
        <v>165</v>
      </c>
      <c r="B166" t="s">
        <v>11</v>
      </c>
      <c r="C166" t="s">
        <v>17</v>
      </c>
      <c r="D166" t="s">
        <v>13</v>
      </c>
      <c r="E166" s="3">
        <v>4500</v>
      </c>
      <c r="F166" s="4">
        <v>44244</v>
      </c>
      <c r="G166" s="2" t="s">
        <v>10</v>
      </c>
    </row>
    <row r="167" spans="1:7" x14ac:dyDescent="0.35">
      <c r="A167" s="2">
        <v>166</v>
      </c>
      <c r="B167" t="s">
        <v>14</v>
      </c>
      <c r="C167" t="s">
        <v>21</v>
      </c>
      <c r="D167" t="s">
        <v>22</v>
      </c>
      <c r="E167" s="3">
        <v>500</v>
      </c>
      <c r="F167" s="4">
        <v>43539</v>
      </c>
      <c r="G167" s="2" t="s">
        <v>10</v>
      </c>
    </row>
    <row r="168" spans="1:7" x14ac:dyDescent="0.35">
      <c r="A168" s="2">
        <v>167</v>
      </c>
      <c r="B168" t="s">
        <v>16</v>
      </c>
      <c r="C168" t="s">
        <v>23</v>
      </c>
      <c r="D168" t="s">
        <v>22</v>
      </c>
      <c r="E168" s="3">
        <v>750</v>
      </c>
      <c r="F168" s="4">
        <v>44449</v>
      </c>
      <c r="G168" s="2" t="s">
        <v>10</v>
      </c>
    </row>
    <row r="169" spans="1:7" x14ac:dyDescent="0.35">
      <c r="A169" s="2">
        <v>168</v>
      </c>
      <c r="B169" t="s">
        <v>18</v>
      </c>
      <c r="C169" t="s">
        <v>24</v>
      </c>
      <c r="D169" t="s">
        <v>9</v>
      </c>
      <c r="E169" s="3">
        <v>950</v>
      </c>
      <c r="F169" s="4">
        <v>43632</v>
      </c>
      <c r="G169" s="2" t="s">
        <v>10</v>
      </c>
    </row>
    <row r="170" spans="1:7" x14ac:dyDescent="0.35">
      <c r="A170" s="2">
        <v>169</v>
      </c>
      <c r="B170" t="s">
        <v>20</v>
      </c>
      <c r="C170" t="s">
        <v>25</v>
      </c>
      <c r="D170" t="s">
        <v>9</v>
      </c>
      <c r="E170" s="3">
        <v>680</v>
      </c>
      <c r="F170" s="4">
        <v>43638</v>
      </c>
      <c r="G170" s="2" t="s">
        <v>10</v>
      </c>
    </row>
    <row r="171" spans="1:7" x14ac:dyDescent="0.35">
      <c r="A171" s="2">
        <v>170</v>
      </c>
      <c r="B171" t="s">
        <v>7</v>
      </c>
      <c r="C171" t="s">
        <v>24</v>
      </c>
      <c r="D171" t="s">
        <v>9</v>
      </c>
      <c r="E171" s="3">
        <v>950</v>
      </c>
      <c r="F171" s="4">
        <v>43662</v>
      </c>
      <c r="G171" s="2" t="s">
        <v>10</v>
      </c>
    </row>
    <row r="172" spans="1:7" x14ac:dyDescent="0.35">
      <c r="A172" s="2">
        <v>171</v>
      </c>
      <c r="B172" t="s">
        <v>11</v>
      </c>
      <c r="C172" t="s">
        <v>25</v>
      </c>
      <c r="D172" t="s">
        <v>9</v>
      </c>
      <c r="E172" s="3">
        <v>1500</v>
      </c>
      <c r="F172" s="4">
        <v>44091</v>
      </c>
      <c r="G172" s="2" t="s">
        <v>10</v>
      </c>
    </row>
    <row r="173" spans="1:7" x14ac:dyDescent="0.35">
      <c r="A173" s="2">
        <v>172</v>
      </c>
      <c r="B173" t="s">
        <v>14</v>
      </c>
      <c r="C173" t="s">
        <v>27</v>
      </c>
      <c r="D173" t="s">
        <v>22</v>
      </c>
      <c r="E173" s="3">
        <v>5000</v>
      </c>
      <c r="F173" s="4">
        <v>43822</v>
      </c>
      <c r="G173" s="2" t="s">
        <v>10</v>
      </c>
    </row>
    <row r="174" spans="1:7" x14ac:dyDescent="0.35">
      <c r="A174" s="2">
        <v>173</v>
      </c>
      <c r="B174" t="s">
        <v>16</v>
      </c>
      <c r="C174" t="s">
        <v>19</v>
      </c>
      <c r="D174" t="s">
        <v>9</v>
      </c>
      <c r="E174" s="3">
        <v>6500</v>
      </c>
      <c r="F174" s="4">
        <v>44503</v>
      </c>
      <c r="G174" s="2" t="s">
        <v>10</v>
      </c>
    </row>
    <row r="175" spans="1:7" x14ac:dyDescent="0.35">
      <c r="A175" s="2">
        <v>174</v>
      </c>
      <c r="B175" t="s">
        <v>18</v>
      </c>
      <c r="C175" t="s">
        <v>8</v>
      </c>
      <c r="D175" t="s">
        <v>9</v>
      </c>
      <c r="E175" s="3">
        <v>8500</v>
      </c>
      <c r="F175" s="4">
        <v>44462</v>
      </c>
      <c r="G175" s="2" t="s">
        <v>10</v>
      </c>
    </row>
    <row r="176" spans="1:7" x14ac:dyDescent="0.35">
      <c r="A176" s="2">
        <v>175</v>
      </c>
      <c r="B176" t="s">
        <v>20</v>
      </c>
      <c r="C176" t="s">
        <v>12</v>
      </c>
      <c r="D176" t="s">
        <v>13</v>
      </c>
      <c r="E176" s="3">
        <v>1200</v>
      </c>
      <c r="F176" s="4">
        <v>44145</v>
      </c>
      <c r="G176" s="2" t="s">
        <v>10</v>
      </c>
    </row>
    <row r="177" spans="1:7" x14ac:dyDescent="0.35">
      <c r="A177" s="2">
        <v>176</v>
      </c>
      <c r="B177" t="s">
        <v>7</v>
      </c>
      <c r="C177" t="s">
        <v>15</v>
      </c>
      <c r="D177" t="s">
        <v>13</v>
      </c>
      <c r="E177" s="3">
        <v>300</v>
      </c>
      <c r="F177" s="4">
        <v>43496</v>
      </c>
      <c r="G177" s="2" t="s">
        <v>10</v>
      </c>
    </row>
    <row r="178" spans="1:7" x14ac:dyDescent="0.35">
      <c r="A178" s="2">
        <v>177</v>
      </c>
      <c r="B178" t="s">
        <v>7</v>
      </c>
      <c r="C178" t="s">
        <v>17</v>
      </c>
      <c r="D178" t="s">
        <v>13</v>
      </c>
      <c r="E178" s="3">
        <v>200</v>
      </c>
      <c r="F178" s="4">
        <v>44082</v>
      </c>
      <c r="G178" s="2" t="s">
        <v>10</v>
      </c>
    </row>
    <row r="179" spans="1:7" x14ac:dyDescent="0.35">
      <c r="A179" s="2">
        <v>178</v>
      </c>
      <c r="B179" t="s">
        <v>11</v>
      </c>
      <c r="C179" t="s">
        <v>21</v>
      </c>
      <c r="D179" t="s">
        <v>22</v>
      </c>
      <c r="E179" s="3">
        <v>150</v>
      </c>
      <c r="F179" s="4">
        <v>44166</v>
      </c>
      <c r="G179" s="2" t="s">
        <v>10</v>
      </c>
    </row>
    <row r="180" spans="1:7" x14ac:dyDescent="0.35">
      <c r="A180" s="2">
        <v>179</v>
      </c>
      <c r="B180" t="s">
        <v>14</v>
      </c>
      <c r="C180" t="s">
        <v>23</v>
      </c>
      <c r="D180" t="s">
        <v>22</v>
      </c>
      <c r="E180" s="3">
        <v>120</v>
      </c>
      <c r="F180" s="4">
        <v>44056</v>
      </c>
      <c r="G180" s="2" t="s">
        <v>10</v>
      </c>
    </row>
    <row r="181" spans="1:7" x14ac:dyDescent="0.35">
      <c r="A181" s="2">
        <v>180</v>
      </c>
      <c r="B181" t="s">
        <v>16</v>
      </c>
      <c r="C181" t="s">
        <v>24</v>
      </c>
      <c r="D181" t="s">
        <v>9</v>
      </c>
      <c r="E181" s="3">
        <v>300</v>
      </c>
      <c r="F181" s="4">
        <v>43601</v>
      </c>
      <c r="G181" s="2" t="s">
        <v>26</v>
      </c>
    </row>
    <row r="182" spans="1:7" x14ac:dyDescent="0.35">
      <c r="A182" s="2">
        <v>181</v>
      </c>
      <c r="B182" t="s">
        <v>18</v>
      </c>
      <c r="C182" t="s">
        <v>8</v>
      </c>
      <c r="D182" t="s">
        <v>9</v>
      </c>
      <c r="E182" s="3">
        <v>350</v>
      </c>
      <c r="F182" s="4">
        <v>43893</v>
      </c>
      <c r="G182" s="2" t="s">
        <v>26</v>
      </c>
    </row>
    <row r="183" spans="1:7" x14ac:dyDescent="0.35">
      <c r="A183" s="2">
        <v>182</v>
      </c>
      <c r="B183" t="s">
        <v>20</v>
      </c>
      <c r="C183" t="s">
        <v>12</v>
      </c>
      <c r="D183" t="s">
        <v>13</v>
      </c>
      <c r="E183" s="3">
        <v>300</v>
      </c>
      <c r="F183" s="4">
        <v>44198</v>
      </c>
      <c r="G183" s="2" t="s">
        <v>26</v>
      </c>
    </row>
    <row r="184" spans="1:7" x14ac:dyDescent="0.35">
      <c r="A184" s="2">
        <v>183</v>
      </c>
      <c r="B184" t="s">
        <v>7</v>
      </c>
      <c r="C184" t="s">
        <v>12</v>
      </c>
      <c r="D184" t="s">
        <v>13</v>
      </c>
      <c r="E184" s="3">
        <v>120</v>
      </c>
      <c r="F184" s="4">
        <v>44139</v>
      </c>
      <c r="G184" s="2" t="s">
        <v>26</v>
      </c>
    </row>
    <row r="185" spans="1:7" x14ac:dyDescent="0.35">
      <c r="A185" s="2">
        <v>184</v>
      </c>
      <c r="B185" t="s">
        <v>11</v>
      </c>
      <c r="C185" t="s">
        <v>15</v>
      </c>
      <c r="D185" t="s">
        <v>13</v>
      </c>
      <c r="E185" s="3">
        <v>150</v>
      </c>
      <c r="F185" s="4">
        <v>43673</v>
      </c>
      <c r="G185" s="2" t="s">
        <v>26</v>
      </c>
    </row>
    <row r="186" spans="1:7" x14ac:dyDescent="0.35">
      <c r="A186" s="2">
        <v>185</v>
      </c>
      <c r="B186" t="s">
        <v>14</v>
      </c>
      <c r="C186" t="s">
        <v>17</v>
      </c>
      <c r="D186" t="s">
        <v>13</v>
      </c>
      <c r="E186" s="3">
        <v>8500</v>
      </c>
      <c r="F186" s="4">
        <v>43993</v>
      </c>
      <c r="G186" s="2" t="s">
        <v>26</v>
      </c>
    </row>
    <row r="187" spans="1:7" x14ac:dyDescent="0.35">
      <c r="A187" s="2">
        <v>186</v>
      </c>
      <c r="B187" t="s">
        <v>16</v>
      </c>
      <c r="C187" t="s">
        <v>21</v>
      </c>
      <c r="D187" t="s">
        <v>22</v>
      </c>
      <c r="E187" s="3">
        <v>1200</v>
      </c>
      <c r="F187" s="4">
        <v>44351</v>
      </c>
      <c r="G187" s="2" t="s">
        <v>26</v>
      </c>
    </row>
    <row r="188" spans="1:7" x14ac:dyDescent="0.35">
      <c r="A188" s="2">
        <v>187</v>
      </c>
      <c r="B188" t="s">
        <v>18</v>
      </c>
      <c r="C188" t="s">
        <v>23</v>
      </c>
      <c r="D188" t="s">
        <v>22</v>
      </c>
      <c r="E188" s="3">
        <v>300</v>
      </c>
      <c r="F188" s="4">
        <v>44377</v>
      </c>
      <c r="G188" s="2" t="s">
        <v>10</v>
      </c>
    </row>
    <row r="189" spans="1:7" x14ac:dyDescent="0.35">
      <c r="A189" s="2">
        <v>188</v>
      </c>
      <c r="B189" t="s">
        <v>20</v>
      </c>
      <c r="C189" t="s">
        <v>24</v>
      </c>
      <c r="D189" t="s">
        <v>9</v>
      </c>
      <c r="E189" s="3">
        <v>200</v>
      </c>
      <c r="F189" s="4">
        <v>43561</v>
      </c>
      <c r="G189" s="2" t="s">
        <v>10</v>
      </c>
    </row>
    <row r="190" spans="1:7" x14ac:dyDescent="0.35">
      <c r="A190" s="2">
        <v>189</v>
      </c>
      <c r="B190" t="s">
        <v>7</v>
      </c>
      <c r="C190" t="s">
        <v>25</v>
      </c>
      <c r="D190" t="s">
        <v>9</v>
      </c>
      <c r="E190" s="3">
        <v>150</v>
      </c>
      <c r="F190" s="4">
        <v>44303</v>
      </c>
      <c r="G190" s="2" t="s">
        <v>10</v>
      </c>
    </row>
    <row r="191" spans="1:7" x14ac:dyDescent="0.35">
      <c r="A191" s="2">
        <v>190</v>
      </c>
      <c r="B191" t="s">
        <v>11</v>
      </c>
      <c r="C191" t="s">
        <v>24</v>
      </c>
      <c r="D191" t="s">
        <v>9</v>
      </c>
      <c r="E191" s="3">
        <v>120</v>
      </c>
      <c r="F191" s="4">
        <v>43715</v>
      </c>
      <c r="G191" s="2" t="s">
        <v>10</v>
      </c>
    </row>
    <row r="192" spans="1:7" x14ac:dyDescent="0.35">
      <c r="A192" s="2">
        <v>191</v>
      </c>
      <c r="B192" t="s">
        <v>14</v>
      </c>
      <c r="C192" t="s">
        <v>25</v>
      </c>
      <c r="D192" t="s">
        <v>9</v>
      </c>
      <c r="E192" s="3">
        <v>300</v>
      </c>
      <c r="F192" s="4">
        <v>44532</v>
      </c>
      <c r="G192" s="2" t="s">
        <v>10</v>
      </c>
    </row>
    <row r="193" spans="1:7" x14ac:dyDescent="0.35">
      <c r="A193" s="2">
        <v>192</v>
      </c>
      <c r="B193" t="s">
        <v>20</v>
      </c>
      <c r="C193" t="s">
        <v>27</v>
      </c>
      <c r="D193" t="s">
        <v>22</v>
      </c>
      <c r="E193" s="3">
        <v>350</v>
      </c>
      <c r="F193" s="4">
        <v>43858</v>
      </c>
      <c r="G193" s="2" t="s">
        <v>10</v>
      </c>
    </row>
    <row r="194" spans="1:7" x14ac:dyDescent="0.35">
      <c r="A194" s="2">
        <v>193</v>
      </c>
      <c r="B194" t="s">
        <v>7</v>
      </c>
      <c r="C194" t="s">
        <v>19</v>
      </c>
      <c r="D194" t="s">
        <v>9</v>
      </c>
      <c r="E194" s="3">
        <v>300</v>
      </c>
      <c r="F194" s="4">
        <v>43700</v>
      </c>
      <c r="G194" s="2" t="s">
        <v>10</v>
      </c>
    </row>
    <row r="195" spans="1:7" x14ac:dyDescent="0.35">
      <c r="A195" s="2">
        <v>194</v>
      </c>
      <c r="B195" t="s">
        <v>11</v>
      </c>
      <c r="C195" t="s">
        <v>8</v>
      </c>
      <c r="D195" t="s">
        <v>9</v>
      </c>
      <c r="E195" s="3">
        <v>120</v>
      </c>
      <c r="F195" s="4">
        <v>44478</v>
      </c>
      <c r="G195" s="2" t="s">
        <v>10</v>
      </c>
    </row>
    <row r="196" spans="1:7" x14ac:dyDescent="0.35">
      <c r="A196" s="2">
        <v>195</v>
      </c>
      <c r="B196" t="s">
        <v>14</v>
      </c>
      <c r="C196" t="s">
        <v>12</v>
      </c>
      <c r="D196" t="s">
        <v>13</v>
      </c>
      <c r="E196" s="3">
        <v>150</v>
      </c>
      <c r="F196" s="4">
        <v>44438</v>
      </c>
      <c r="G196" s="2" t="s">
        <v>10</v>
      </c>
    </row>
    <row r="197" spans="1:7" x14ac:dyDescent="0.35">
      <c r="A197" s="2">
        <v>196</v>
      </c>
      <c r="B197" t="s">
        <v>16</v>
      </c>
      <c r="C197" t="s">
        <v>15</v>
      </c>
      <c r="D197" t="s">
        <v>13</v>
      </c>
      <c r="E197" s="3">
        <v>1200</v>
      </c>
      <c r="F197" s="4">
        <v>43869</v>
      </c>
      <c r="G197" s="2" t="s">
        <v>10</v>
      </c>
    </row>
    <row r="198" spans="1:7" x14ac:dyDescent="0.35">
      <c r="A198" s="2">
        <v>197</v>
      </c>
      <c r="B198" t="s">
        <v>18</v>
      </c>
      <c r="C198" t="s">
        <v>17</v>
      </c>
      <c r="D198" t="s">
        <v>13</v>
      </c>
      <c r="E198" s="3">
        <v>800</v>
      </c>
      <c r="F198" s="4">
        <v>43963</v>
      </c>
      <c r="G198" s="2" t="s">
        <v>10</v>
      </c>
    </row>
    <row r="199" spans="1:7" x14ac:dyDescent="0.35">
      <c r="A199" s="2">
        <v>198</v>
      </c>
      <c r="B199" t="s">
        <v>20</v>
      </c>
      <c r="C199" t="s">
        <v>21</v>
      </c>
      <c r="D199" t="s">
        <v>22</v>
      </c>
      <c r="E199" s="3">
        <v>750</v>
      </c>
      <c r="F199" s="4">
        <v>43576</v>
      </c>
      <c r="G199" s="2" t="s">
        <v>10</v>
      </c>
    </row>
    <row r="200" spans="1:7" x14ac:dyDescent="0.35">
      <c r="A200" s="2">
        <v>199</v>
      </c>
      <c r="B200" t="s">
        <v>7</v>
      </c>
      <c r="C200" t="s">
        <v>23</v>
      </c>
      <c r="D200" t="s">
        <v>22</v>
      </c>
      <c r="E200" s="3">
        <v>4500</v>
      </c>
      <c r="F200" s="4">
        <v>43504</v>
      </c>
      <c r="G200" s="2" t="s">
        <v>10</v>
      </c>
    </row>
    <row r="201" spans="1:7" x14ac:dyDescent="0.35">
      <c r="A201" s="2">
        <v>200</v>
      </c>
      <c r="B201" t="s">
        <v>11</v>
      </c>
      <c r="C201" t="s">
        <v>24</v>
      </c>
      <c r="D201" t="s">
        <v>9</v>
      </c>
      <c r="E201" s="3">
        <v>500</v>
      </c>
      <c r="F201" s="4">
        <v>43583</v>
      </c>
      <c r="G201" s="2" t="s">
        <v>10</v>
      </c>
    </row>
    <row r="202" spans="1:7" x14ac:dyDescent="0.35">
      <c r="A202" s="2">
        <v>201</v>
      </c>
      <c r="B202" t="s">
        <v>14</v>
      </c>
      <c r="C202" t="s">
        <v>8</v>
      </c>
      <c r="D202" t="s">
        <v>9</v>
      </c>
      <c r="E202" s="3">
        <v>750</v>
      </c>
      <c r="F202" s="4">
        <v>44437</v>
      </c>
      <c r="G202" s="2" t="s">
        <v>10</v>
      </c>
    </row>
    <row r="203" spans="1:7" x14ac:dyDescent="0.35">
      <c r="A203" s="2">
        <v>202</v>
      </c>
      <c r="B203" t="s">
        <v>16</v>
      </c>
      <c r="C203" t="s">
        <v>12</v>
      </c>
      <c r="D203" t="s">
        <v>13</v>
      </c>
      <c r="E203" s="3">
        <v>950</v>
      </c>
      <c r="F203" s="4">
        <v>44201</v>
      </c>
      <c r="G203" s="2" t="s">
        <v>10</v>
      </c>
    </row>
    <row r="204" spans="1:7" x14ac:dyDescent="0.35">
      <c r="A204" s="2">
        <v>203</v>
      </c>
      <c r="B204" t="s">
        <v>11</v>
      </c>
      <c r="C204" t="s">
        <v>12</v>
      </c>
      <c r="D204" t="s">
        <v>13</v>
      </c>
      <c r="E204" s="3">
        <v>680</v>
      </c>
      <c r="F204" s="4">
        <v>43951</v>
      </c>
      <c r="G204" s="2" t="s">
        <v>10</v>
      </c>
    </row>
    <row r="205" spans="1:7" x14ac:dyDescent="0.35">
      <c r="A205" s="2">
        <v>204</v>
      </c>
      <c r="B205" t="s">
        <v>14</v>
      </c>
      <c r="C205" t="s">
        <v>15</v>
      </c>
      <c r="D205" t="s">
        <v>13</v>
      </c>
      <c r="E205" s="3">
        <v>950</v>
      </c>
      <c r="F205" s="4">
        <v>43741</v>
      </c>
      <c r="G205" s="2" t="s">
        <v>10</v>
      </c>
    </row>
    <row r="206" spans="1:7" x14ac:dyDescent="0.35">
      <c r="A206" s="2">
        <v>205</v>
      </c>
      <c r="B206" t="s">
        <v>16</v>
      </c>
      <c r="C206" t="s">
        <v>17</v>
      </c>
      <c r="D206" t="s">
        <v>13</v>
      </c>
      <c r="E206" s="3">
        <v>1500</v>
      </c>
      <c r="F206" s="4">
        <v>43525</v>
      </c>
      <c r="G206" s="2" t="s">
        <v>10</v>
      </c>
    </row>
    <row r="207" spans="1:7" x14ac:dyDescent="0.35">
      <c r="A207" s="2">
        <v>206</v>
      </c>
      <c r="B207" t="s">
        <v>18</v>
      </c>
      <c r="C207" t="s">
        <v>21</v>
      </c>
      <c r="D207" t="s">
        <v>22</v>
      </c>
      <c r="E207" s="3">
        <v>5000</v>
      </c>
      <c r="F207" s="4">
        <v>43782</v>
      </c>
      <c r="G207" s="2" t="s">
        <v>10</v>
      </c>
    </row>
    <row r="208" spans="1:7" x14ac:dyDescent="0.35">
      <c r="A208" s="2">
        <v>207</v>
      </c>
      <c r="B208" t="s">
        <v>20</v>
      </c>
      <c r="C208" t="s">
        <v>23</v>
      </c>
      <c r="D208" t="s">
        <v>22</v>
      </c>
      <c r="E208" s="3">
        <v>6500</v>
      </c>
      <c r="F208" s="4">
        <v>43705</v>
      </c>
      <c r="G208" s="2" t="s">
        <v>10</v>
      </c>
    </row>
    <row r="209" spans="1:7" x14ac:dyDescent="0.35">
      <c r="A209" s="2">
        <v>208</v>
      </c>
      <c r="B209" t="s">
        <v>7</v>
      </c>
      <c r="C209" t="s">
        <v>24</v>
      </c>
      <c r="D209" t="s">
        <v>9</v>
      </c>
      <c r="E209" s="3">
        <v>1200</v>
      </c>
      <c r="F209" s="4">
        <v>43960</v>
      </c>
      <c r="G209" s="2" t="s">
        <v>10</v>
      </c>
    </row>
    <row r="210" spans="1:7" x14ac:dyDescent="0.35">
      <c r="A210" s="2">
        <v>209</v>
      </c>
      <c r="B210" t="s">
        <v>11</v>
      </c>
      <c r="C210" t="s">
        <v>25</v>
      </c>
      <c r="D210" t="s">
        <v>9</v>
      </c>
      <c r="E210" s="3">
        <v>800</v>
      </c>
      <c r="F210" s="4">
        <v>43962</v>
      </c>
      <c r="G210" s="2" t="s">
        <v>26</v>
      </c>
    </row>
    <row r="211" spans="1:7" x14ac:dyDescent="0.35">
      <c r="A211" s="2">
        <v>210</v>
      </c>
      <c r="B211" t="s">
        <v>14</v>
      </c>
      <c r="C211" t="s">
        <v>24</v>
      </c>
      <c r="D211" t="s">
        <v>9</v>
      </c>
      <c r="E211" s="3">
        <v>750</v>
      </c>
      <c r="F211" s="4">
        <v>44069</v>
      </c>
      <c r="G211" s="2" t="s">
        <v>26</v>
      </c>
    </row>
    <row r="212" spans="1:7" x14ac:dyDescent="0.35">
      <c r="A212" s="2">
        <v>211</v>
      </c>
      <c r="B212" t="s">
        <v>20</v>
      </c>
      <c r="C212" t="s">
        <v>25</v>
      </c>
      <c r="D212" t="s">
        <v>9</v>
      </c>
      <c r="E212" s="3">
        <v>4500</v>
      </c>
      <c r="F212" s="4">
        <v>43560</v>
      </c>
      <c r="G212" s="2" t="s">
        <v>26</v>
      </c>
    </row>
    <row r="213" spans="1:7" x14ac:dyDescent="0.35">
      <c r="A213" s="2">
        <v>212</v>
      </c>
      <c r="B213" t="s">
        <v>7</v>
      </c>
      <c r="C213" t="s">
        <v>27</v>
      </c>
      <c r="D213" t="s">
        <v>22</v>
      </c>
      <c r="E213" s="3">
        <v>500</v>
      </c>
      <c r="F213" s="4">
        <v>43600</v>
      </c>
      <c r="G213" s="2" t="s">
        <v>26</v>
      </c>
    </row>
    <row r="214" spans="1:7" x14ac:dyDescent="0.35">
      <c r="A214" s="2">
        <v>213</v>
      </c>
      <c r="B214" t="s">
        <v>11</v>
      </c>
      <c r="C214" t="s">
        <v>19</v>
      </c>
      <c r="D214" t="s">
        <v>9</v>
      </c>
      <c r="E214" s="3">
        <v>750</v>
      </c>
      <c r="F214" s="4">
        <v>44170</v>
      </c>
      <c r="G214" s="2" t="s">
        <v>26</v>
      </c>
    </row>
    <row r="215" spans="1:7" x14ac:dyDescent="0.35">
      <c r="A215" s="2">
        <v>214</v>
      </c>
      <c r="B215" t="s">
        <v>14</v>
      </c>
      <c r="C215" t="s">
        <v>8</v>
      </c>
      <c r="D215" t="s">
        <v>9</v>
      </c>
      <c r="E215" s="3">
        <v>950</v>
      </c>
      <c r="F215" s="4">
        <v>44121</v>
      </c>
      <c r="G215" s="2" t="s">
        <v>26</v>
      </c>
    </row>
    <row r="216" spans="1:7" x14ac:dyDescent="0.35">
      <c r="A216" s="2">
        <v>215</v>
      </c>
      <c r="B216" t="s">
        <v>16</v>
      </c>
      <c r="C216" t="s">
        <v>12</v>
      </c>
      <c r="D216" t="s">
        <v>13</v>
      </c>
      <c r="E216" s="3">
        <v>680</v>
      </c>
      <c r="F216" s="4">
        <v>44197</v>
      </c>
      <c r="G216" s="2" t="s">
        <v>26</v>
      </c>
    </row>
    <row r="217" spans="1:7" x14ac:dyDescent="0.35">
      <c r="A217" s="2">
        <v>216</v>
      </c>
      <c r="B217" t="s">
        <v>18</v>
      </c>
      <c r="C217" t="s">
        <v>15</v>
      </c>
      <c r="D217" t="s">
        <v>13</v>
      </c>
      <c r="E217" s="3">
        <v>950</v>
      </c>
      <c r="F217" s="4">
        <v>44006</v>
      </c>
      <c r="G217" s="2" t="s">
        <v>10</v>
      </c>
    </row>
    <row r="218" spans="1:7" x14ac:dyDescent="0.35">
      <c r="A218" s="2">
        <v>217</v>
      </c>
      <c r="B218" t="s">
        <v>20</v>
      </c>
      <c r="C218" t="s">
        <v>17</v>
      </c>
      <c r="D218" t="s">
        <v>13</v>
      </c>
      <c r="E218" s="3">
        <v>1500</v>
      </c>
      <c r="F218" s="4">
        <v>44212</v>
      </c>
      <c r="G218" s="2" t="s">
        <v>10</v>
      </c>
    </row>
    <row r="219" spans="1:7" x14ac:dyDescent="0.35">
      <c r="A219" s="2">
        <v>218</v>
      </c>
      <c r="B219" t="s">
        <v>7</v>
      </c>
      <c r="C219" t="s">
        <v>21</v>
      </c>
      <c r="D219" t="s">
        <v>22</v>
      </c>
      <c r="E219" s="3">
        <v>5000</v>
      </c>
      <c r="F219" s="4">
        <v>43813</v>
      </c>
      <c r="G219" s="2" t="s">
        <v>10</v>
      </c>
    </row>
    <row r="220" spans="1:7" x14ac:dyDescent="0.35">
      <c r="A220" s="2">
        <v>219</v>
      </c>
      <c r="B220" t="s">
        <v>11</v>
      </c>
      <c r="C220" t="s">
        <v>23</v>
      </c>
      <c r="D220" t="s">
        <v>22</v>
      </c>
      <c r="E220" s="3">
        <v>6500</v>
      </c>
      <c r="F220" s="4">
        <v>44365</v>
      </c>
      <c r="G220" s="2" t="s">
        <v>10</v>
      </c>
    </row>
    <row r="221" spans="1:7" x14ac:dyDescent="0.35">
      <c r="A221" s="2">
        <v>220</v>
      </c>
      <c r="B221" t="s">
        <v>14</v>
      </c>
      <c r="C221" t="s">
        <v>24</v>
      </c>
      <c r="D221" t="s">
        <v>9</v>
      </c>
      <c r="E221" s="3">
        <v>8500</v>
      </c>
      <c r="F221" s="4">
        <v>44494</v>
      </c>
      <c r="G221" s="2" t="s">
        <v>10</v>
      </c>
    </row>
    <row r="222" spans="1:7" x14ac:dyDescent="0.35">
      <c r="A222" s="2">
        <v>221</v>
      </c>
      <c r="B222" t="s">
        <v>16</v>
      </c>
      <c r="C222" t="s">
        <v>8</v>
      </c>
      <c r="D222" t="s">
        <v>9</v>
      </c>
      <c r="E222" s="3">
        <v>1200</v>
      </c>
      <c r="F222" s="4">
        <v>44418</v>
      </c>
      <c r="G222" s="2" t="s">
        <v>10</v>
      </c>
    </row>
    <row r="223" spans="1:7" x14ac:dyDescent="0.35">
      <c r="A223" s="2">
        <v>222</v>
      </c>
      <c r="B223" t="s">
        <v>18</v>
      </c>
      <c r="C223" t="s">
        <v>12</v>
      </c>
      <c r="D223" t="s">
        <v>13</v>
      </c>
      <c r="E223" s="3">
        <v>300</v>
      </c>
      <c r="F223" s="4">
        <v>44395</v>
      </c>
      <c r="G223" s="2" t="s">
        <v>10</v>
      </c>
    </row>
    <row r="224" spans="1:7" x14ac:dyDescent="0.35">
      <c r="A224" s="2">
        <v>223</v>
      </c>
      <c r="B224" t="s">
        <v>20</v>
      </c>
      <c r="C224" t="s">
        <v>15</v>
      </c>
      <c r="D224" t="s">
        <v>13</v>
      </c>
      <c r="E224" s="3">
        <v>200</v>
      </c>
      <c r="F224" s="4">
        <v>44495</v>
      </c>
      <c r="G224" s="2" t="s">
        <v>26</v>
      </c>
    </row>
    <row r="225" spans="1:7" x14ac:dyDescent="0.35">
      <c r="A225" s="2">
        <v>224</v>
      </c>
      <c r="B225" t="s">
        <v>7</v>
      </c>
      <c r="C225" t="s">
        <v>17</v>
      </c>
      <c r="D225" t="s">
        <v>13</v>
      </c>
      <c r="E225" s="3">
        <v>150</v>
      </c>
      <c r="F225" s="4">
        <v>43873</v>
      </c>
      <c r="G225" s="2" t="s">
        <v>26</v>
      </c>
    </row>
    <row r="226" spans="1:7" x14ac:dyDescent="0.35">
      <c r="A226" s="2">
        <v>225</v>
      </c>
      <c r="B226" t="s">
        <v>11</v>
      </c>
      <c r="C226" t="s">
        <v>19</v>
      </c>
      <c r="D226" t="s">
        <v>9</v>
      </c>
      <c r="E226" s="3">
        <v>120</v>
      </c>
      <c r="F226" s="4">
        <v>44422</v>
      </c>
      <c r="G226" s="2" t="s">
        <v>26</v>
      </c>
    </row>
    <row r="227" spans="1:7" x14ac:dyDescent="0.35">
      <c r="A227" s="2">
        <v>226</v>
      </c>
      <c r="B227" t="s">
        <v>14</v>
      </c>
      <c r="C227" t="s">
        <v>8</v>
      </c>
      <c r="D227" t="s">
        <v>9</v>
      </c>
      <c r="E227" s="3">
        <v>300</v>
      </c>
      <c r="F227" s="4">
        <v>43777</v>
      </c>
      <c r="G227" s="2" t="s">
        <v>26</v>
      </c>
    </row>
    <row r="228" spans="1:7" x14ac:dyDescent="0.35">
      <c r="A228" s="2">
        <v>227</v>
      </c>
      <c r="B228" t="s">
        <v>16</v>
      </c>
      <c r="C228" t="s">
        <v>12</v>
      </c>
      <c r="D228" t="s">
        <v>13</v>
      </c>
      <c r="E228" s="3">
        <v>350</v>
      </c>
      <c r="F228" s="4">
        <v>43717</v>
      </c>
      <c r="G228" s="2" t="s">
        <v>26</v>
      </c>
    </row>
    <row r="229" spans="1:7" x14ac:dyDescent="0.35">
      <c r="A229" s="2">
        <v>228</v>
      </c>
      <c r="B229" t="s">
        <v>18</v>
      </c>
      <c r="C229" t="s">
        <v>12</v>
      </c>
      <c r="D229" t="s">
        <v>13</v>
      </c>
      <c r="E229" s="3">
        <v>300</v>
      </c>
      <c r="F229" s="4">
        <v>43549</v>
      </c>
      <c r="G229" s="2" t="s">
        <v>26</v>
      </c>
    </row>
    <row r="230" spans="1:7" x14ac:dyDescent="0.35">
      <c r="A230" s="2">
        <v>229</v>
      </c>
      <c r="B230" t="s">
        <v>20</v>
      </c>
      <c r="C230" t="s">
        <v>15</v>
      </c>
      <c r="D230" t="s">
        <v>13</v>
      </c>
      <c r="E230" s="3">
        <v>120</v>
      </c>
      <c r="F230" s="4">
        <v>44410</v>
      </c>
      <c r="G230" s="2" t="s">
        <v>10</v>
      </c>
    </row>
    <row r="231" spans="1:7" x14ac:dyDescent="0.35">
      <c r="A231" s="2">
        <v>230</v>
      </c>
      <c r="B231" t="s">
        <v>7</v>
      </c>
      <c r="C231" t="s">
        <v>17</v>
      </c>
      <c r="D231" t="s">
        <v>13</v>
      </c>
      <c r="E231" s="3">
        <v>150</v>
      </c>
      <c r="F231" s="4">
        <v>44023</v>
      </c>
      <c r="G231" s="2" t="s">
        <v>10</v>
      </c>
    </row>
    <row r="232" spans="1:7" x14ac:dyDescent="0.35">
      <c r="A232" s="2">
        <v>231</v>
      </c>
      <c r="B232" t="s">
        <v>11</v>
      </c>
      <c r="C232" t="s">
        <v>21</v>
      </c>
      <c r="D232" t="s">
        <v>22</v>
      </c>
      <c r="E232" s="3">
        <v>1200</v>
      </c>
      <c r="F232" s="4">
        <v>43959</v>
      </c>
      <c r="G232" s="2" t="s">
        <v>10</v>
      </c>
    </row>
    <row r="233" spans="1:7" x14ac:dyDescent="0.35">
      <c r="A233" s="2">
        <v>232</v>
      </c>
      <c r="B233" t="s">
        <v>14</v>
      </c>
      <c r="C233" t="s">
        <v>23</v>
      </c>
      <c r="D233" t="s">
        <v>22</v>
      </c>
      <c r="E233" s="3">
        <v>800</v>
      </c>
      <c r="F233" s="4">
        <v>44052</v>
      </c>
      <c r="G233" s="2" t="s">
        <v>10</v>
      </c>
    </row>
    <row r="234" spans="1:7" x14ac:dyDescent="0.35">
      <c r="A234" s="2">
        <v>233</v>
      </c>
      <c r="B234" t="s">
        <v>16</v>
      </c>
      <c r="C234" t="s">
        <v>24</v>
      </c>
      <c r="D234" t="s">
        <v>9</v>
      </c>
      <c r="E234" s="3">
        <v>750</v>
      </c>
      <c r="F234" s="4">
        <v>44527</v>
      </c>
      <c r="G234" s="2" t="s">
        <v>10</v>
      </c>
    </row>
    <row r="235" spans="1:7" x14ac:dyDescent="0.35">
      <c r="A235" s="2">
        <v>234</v>
      </c>
      <c r="B235" t="s">
        <v>18</v>
      </c>
      <c r="C235" t="s">
        <v>25</v>
      </c>
      <c r="D235" t="s">
        <v>9</v>
      </c>
      <c r="E235" s="3">
        <v>4500</v>
      </c>
      <c r="F235" s="4">
        <v>43935</v>
      </c>
      <c r="G235" s="2" t="s">
        <v>10</v>
      </c>
    </row>
    <row r="236" spans="1:7" x14ac:dyDescent="0.35">
      <c r="A236" s="2">
        <v>235</v>
      </c>
      <c r="B236" t="s">
        <v>20</v>
      </c>
      <c r="C236" t="s">
        <v>24</v>
      </c>
      <c r="D236" t="s">
        <v>9</v>
      </c>
      <c r="E236" s="3">
        <v>500</v>
      </c>
      <c r="F236" s="4">
        <v>44424</v>
      </c>
      <c r="G236" s="2" t="s">
        <v>10</v>
      </c>
    </row>
    <row r="237" spans="1:7" x14ac:dyDescent="0.35">
      <c r="A237" s="2">
        <v>236</v>
      </c>
      <c r="B237" t="s">
        <v>7</v>
      </c>
      <c r="C237" t="s">
        <v>25</v>
      </c>
      <c r="D237" t="s">
        <v>9</v>
      </c>
      <c r="E237" s="3">
        <v>750</v>
      </c>
      <c r="F237" s="4">
        <v>44047</v>
      </c>
      <c r="G237" s="2" t="s">
        <v>10</v>
      </c>
    </row>
    <row r="238" spans="1:7" x14ac:dyDescent="0.35">
      <c r="A238" s="2">
        <v>237</v>
      </c>
      <c r="B238" t="s">
        <v>11</v>
      </c>
      <c r="C238" t="s">
        <v>27</v>
      </c>
      <c r="D238" t="s">
        <v>22</v>
      </c>
      <c r="E238" s="3">
        <v>950</v>
      </c>
      <c r="F238" s="4">
        <v>43467</v>
      </c>
      <c r="G238" s="2" t="s">
        <v>10</v>
      </c>
    </row>
    <row r="239" spans="1:7" x14ac:dyDescent="0.35">
      <c r="A239" s="2">
        <v>238</v>
      </c>
      <c r="B239" t="s">
        <v>14</v>
      </c>
      <c r="C239" t="s">
        <v>19</v>
      </c>
      <c r="D239" t="s">
        <v>9</v>
      </c>
      <c r="E239" s="3">
        <v>680</v>
      </c>
      <c r="F239" s="4">
        <v>43572</v>
      </c>
      <c r="G239" s="2" t="s">
        <v>10</v>
      </c>
    </row>
    <row r="240" spans="1:7" x14ac:dyDescent="0.35">
      <c r="A240" s="2">
        <v>239</v>
      </c>
      <c r="B240" t="s">
        <v>16</v>
      </c>
      <c r="C240" t="s">
        <v>8</v>
      </c>
      <c r="D240" t="s">
        <v>9</v>
      </c>
      <c r="E240" s="3">
        <v>950</v>
      </c>
      <c r="F240" s="4">
        <v>43517</v>
      </c>
      <c r="G240" s="2" t="s">
        <v>10</v>
      </c>
    </row>
    <row r="241" spans="1:7" x14ac:dyDescent="0.35">
      <c r="A241" s="2">
        <v>240</v>
      </c>
      <c r="B241" t="s">
        <v>18</v>
      </c>
      <c r="C241" t="s">
        <v>12</v>
      </c>
      <c r="D241" t="s">
        <v>13</v>
      </c>
      <c r="E241" s="3">
        <v>1500</v>
      </c>
      <c r="F241" s="4">
        <v>43922</v>
      </c>
      <c r="G241" s="2" t="s">
        <v>10</v>
      </c>
    </row>
    <row r="242" spans="1:7" x14ac:dyDescent="0.35">
      <c r="A242" s="2">
        <v>241</v>
      </c>
      <c r="B242" t="s">
        <v>20</v>
      </c>
      <c r="C242" t="s">
        <v>15</v>
      </c>
      <c r="D242" t="s">
        <v>13</v>
      </c>
      <c r="E242" s="3">
        <v>5000</v>
      </c>
      <c r="F242" s="4">
        <v>44340</v>
      </c>
      <c r="G242" s="2" t="s">
        <v>10</v>
      </c>
    </row>
    <row r="243" spans="1:7" x14ac:dyDescent="0.35">
      <c r="A243" s="2">
        <v>242</v>
      </c>
      <c r="B243" t="s">
        <v>7</v>
      </c>
      <c r="C243" t="s">
        <v>17</v>
      </c>
      <c r="D243" t="s">
        <v>13</v>
      </c>
      <c r="E243" s="3">
        <v>6500</v>
      </c>
      <c r="F243" s="4">
        <v>44135</v>
      </c>
      <c r="G243" s="2" t="s">
        <v>10</v>
      </c>
    </row>
    <row r="244" spans="1:7" x14ac:dyDescent="0.35">
      <c r="A244" s="2">
        <v>243</v>
      </c>
      <c r="B244" t="s">
        <v>11</v>
      </c>
      <c r="C244" t="s">
        <v>21</v>
      </c>
      <c r="D244" t="s">
        <v>22</v>
      </c>
      <c r="E244" s="3">
        <v>8500</v>
      </c>
      <c r="F244" s="4">
        <v>44351</v>
      </c>
      <c r="G244" s="2" t="s">
        <v>10</v>
      </c>
    </row>
    <row r="245" spans="1:7" x14ac:dyDescent="0.35">
      <c r="A245" s="2">
        <v>244</v>
      </c>
      <c r="B245" t="s">
        <v>14</v>
      </c>
      <c r="C245" t="s">
        <v>23</v>
      </c>
      <c r="D245" t="s">
        <v>22</v>
      </c>
      <c r="E245" s="3">
        <v>1200</v>
      </c>
      <c r="F245" s="4">
        <v>44481</v>
      </c>
      <c r="G245" s="2" t="s">
        <v>10</v>
      </c>
    </row>
    <row r="246" spans="1:7" x14ac:dyDescent="0.35">
      <c r="A246" s="2">
        <v>245</v>
      </c>
      <c r="B246" t="s">
        <v>20</v>
      </c>
      <c r="C246" t="s">
        <v>24</v>
      </c>
      <c r="D246" t="s">
        <v>9</v>
      </c>
      <c r="E246" s="3">
        <v>300</v>
      </c>
      <c r="F246" s="4">
        <v>44514</v>
      </c>
      <c r="G246" s="2" t="s">
        <v>10</v>
      </c>
    </row>
    <row r="247" spans="1:7" x14ac:dyDescent="0.35">
      <c r="A247" s="2">
        <v>246</v>
      </c>
      <c r="B247" t="s">
        <v>7</v>
      </c>
      <c r="C247" t="s">
        <v>8</v>
      </c>
      <c r="D247" t="s">
        <v>9</v>
      </c>
      <c r="E247" s="3">
        <v>200</v>
      </c>
      <c r="F247" s="4">
        <v>43940</v>
      </c>
      <c r="G247" s="2" t="s">
        <v>10</v>
      </c>
    </row>
    <row r="248" spans="1:7" x14ac:dyDescent="0.35">
      <c r="A248" s="2">
        <v>247</v>
      </c>
      <c r="B248" t="s">
        <v>11</v>
      </c>
      <c r="C248" t="s">
        <v>12</v>
      </c>
      <c r="D248" t="s">
        <v>13</v>
      </c>
      <c r="E248" s="3">
        <v>150</v>
      </c>
      <c r="F248" s="4">
        <v>43778</v>
      </c>
      <c r="G248" s="2" t="s">
        <v>10</v>
      </c>
    </row>
    <row r="249" spans="1:7" x14ac:dyDescent="0.35">
      <c r="A249" s="2">
        <v>248</v>
      </c>
      <c r="B249" t="s">
        <v>14</v>
      </c>
      <c r="C249" t="s">
        <v>12</v>
      </c>
      <c r="D249" t="s">
        <v>13</v>
      </c>
      <c r="E249" s="3">
        <v>120</v>
      </c>
      <c r="F249" s="4">
        <v>44152</v>
      </c>
      <c r="G249" s="2" t="s">
        <v>10</v>
      </c>
    </row>
    <row r="250" spans="1:7" x14ac:dyDescent="0.35">
      <c r="A250" s="2">
        <v>249</v>
      </c>
      <c r="B250" t="s">
        <v>16</v>
      </c>
      <c r="C250" t="s">
        <v>15</v>
      </c>
      <c r="D250" t="s">
        <v>13</v>
      </c>
      <c r="E250" s="3">
        <v>300</v>
      </c>
      <c r="F250" s="4">
        <v>43669</v>
      </c>
      <c r="G250" s="2" t="s">
        <v>10</v>
      </c>
    </row>
    <row r="251" spans="1:7" x14ac:dyDescent="0.35">
      <c r="A251" s="2">
        <v>250</v>
      </c>
      <c r="B251" t="s">
        <v>18</v>
      </c>
      <c r="C251" t="s">
        <v>17</v>
      </c>
      <c r="D251" t="s">
        <v>13</v>
      </c>
      <c r="E251" s="3">
        <v>350</v>
      </c>
      <c r="F251" s="4">
        <v>43852</v>
      </c>
      <c r="G251" s="2" t="s">
        <v>26</v>
      </c>
    </row>
    <row r="252" spans="1:7" x14ac:dyDescent="0.35">
      <c r="A252" s="2">
        <v>251</v>
      </c>
      <c r="B252" t="s">
        <v>20</v>
      </c>
      <c r="C252" t="s">
        <v>21</v>
      </c>
      <c r="D252" t="s">
        <v>22</v>
      </c>
      <c r="E252" s="3">
        <v>300</v>
      </c>
      <c r="F252" s="4">
        <v>43630</v>
      </c>
      <c r="G252" s="2" t="s">
        <v>26</v>
      </c>
    </row>
    <row r="253" spans="1:7" x14ac:dyDescent="0.35">
      <c r="A253" s="2">
        <v>252</v>
      </c>
      <c r="B253" t="s">
        <v>7</v>
      </c>
      <c r="C253" t="s">
        <v>23</v>
      </c>
      <c r="D253" t="s">
        <v>22</v>
      </c>
      <c r="E253" s="3">
        <v>120</v>
      </c>
      <c r="F253" s="4">
        <v>44143</v>
      </c>
      <c r="G253" s="2" t="s">
        <v>26</v>
      </c>
    </row>
    <row r="254" spans="1:7" x14ac:dyDescent="0.35">
      <c r="A254" s="2">
        <v>253</v>
      </c>
      <c r="B254" t="s">
        <v>11</v>
      </c>
      <c r="C254" t="s">
        <v>24</v>
      </c>
      <c r="D254" t="s">
        <v>9</v>
      </c>
      <c r="E254" s="3">
        <v>150</v>
      </c>
      <c r="F254" s="4">
        <v>43528</v>
      </c>
      <c r="G254" s="2" t="s">
        <v>26</v>
      </c>
    </row>
    <row r="255" spans="1:7" x14ac:dyDescent="0.35">
      <c r="A255" s="2">
        <v>254</v>
      </c>
      <c r="B255" t="s">
        <v>14</v>
      </c>
      <c r="C255" t="s">
        <v>25</v>
      </c>
      <c r="D255" t="s">
        <v>9</v>
      </c>
      <c r="E255" s="3">
        <v>8500</v>
      </c>
      <c r="F255" s="4">
        <v>43582</v>
      </c>
      <c r="G255" s="2" t="s">
        <v>26</v>
      </c>
    </row>
    <row r="256" spans="1:7" x14ac:dyDescent="0.35">
      <c r="A256" s="2">
        <v>255</v>
      </c>
      <c r="B256" t="s">
        <v>16</v>
      </c>
      <c r="C256" t="s">
        <v>24</v>
      </c>
      <c r="D256" t="s">
        <v>9</v>
      </c>
      <c r="E256" s="3">
        <v>1200</v>
      </c>
      <c r="F256" s="4">
        <v>44473</v>
      </c>
      <c r="G256" s="2" t="s">
        <v>26</v>
      </c>
    </row>
    <row r="257" spans="1:7" x14ac:dyDescent="0.35">
      <c r="A257" s="2">
        <v>256</v>
      </c>
      <c r="B257" t="s">
        <v>18</v>
      </c>
      <c r="C257" t="s">
        <v>25</v>
      </c>
      <c r="D257" t="s">
        <v>9</v>
      </c>
      <c r="E257" s="3">
        <v>300</v>
      </c>
      <c r="F257" s="4">
        <v>43853</v>
      </c>
      <c r="G257" s="2" t="s">
        <v>26</v>
      </c>
    </row>
    <row r="258" spans="1:7" x14ac:dyDescent="0.35">
      <c r="A258" s="2">
        <v>257</v>
      </c>
      <c r="B258" t="s">
        <v>20</v>
      </c>
      <c r="C258" t="s">
        <v>27</v>
      </c>
      <c r="D258" t="s">
        <v>22</v>
      </c>
      <c r="E258" s="3">
        <v>200</v>
      </c>
      <c r="F258" s="4">
        <v>44488</v>
      </c>
      <c r="G258" s="2" t="s">
        <v>10</v>
      </c>
    </row>
    <row r="259" spans="1:7" x14ac:dyDescent="0.35">
      <c r="A259" s="2">
        <v>258</v>
      </c>
      <c r="B259" t="s">
        <v>7</v>
      </c>
      <c r="C259" t="s">
        <v>19</v>
      </c>
      <c r="D259" t="s">
        <v>9</v>
      </c>
      <c r="E259" s="3">
        <v>150</v>
      </c>
      <c r="F259" s="4">
        <v>44261</v>
      </c>
      <c r="G259" s="2" t="s">
        <v>10</v>
      </c>
    </row>
    <row r="260" spans="1:7" x14ac:dyDescent="0.35">
      <c r="A260" s="2">
        <v>259</v>
      </c>
      <c r="B260" t="s">
        <v>11</v>
      </c>
      <c r="C260" t="s">
        <v>8</v>
      </c>
      <c r="D260" t="s">
        <v>9</v>
      </c>
      <c r="E260" s="3">
        <v>120</v>
      </c>
      <c r="F260" s="4">
        <v>44180</v>
      </c>
      <c r="G260" s="2" t="s">
        <v>10</v>
      </c>
    </row>
    <row r="261" spans="1:7" x14ac:dyDescent="0.35">
      <c r="A261" s="2">
        <v>260</v>
      </c>
      <c r="B261" t="s">
        <v>14</v>
      </c>
      <c r="C261" t="s">
        <v>12</v>
      </c>
      <c r="D261" t="s">
        <v>13</v>
      </c>
      <c r="E261" s="3">
        <v>300</v>
      </c>
      <c r="F261" s="4">
        <v>44281</v>
      </c>
      <c r="G261" s="2" t="s">
        <v>10</v>
      </c>
    </row>
    <row r="262" spans="1:7" x14ac:dyDescent="0.35">
      <c r="A262" s="2">
        <v>261</v>
      </c>
      <c r="B262" t="s">
        <v>16</v>
      </c>
      <c r="C262" t="s">
        <v>15</v>
      </c>
      <c r="D262" t="s">
        <v>13</v>
      </c>
      <c r="E262" s="3">
        <v>350</v>
      </c>
      <c r="F262" s="4">
        <v>44411</v>
      </c>
      <c r="G262" s="2" t="s">
        <v>10</v>
      </c>
    </row>
    <row r="263" spans="1:7" x14ac:dyDescent="0.35">
      <c r="A263" s="2">
        <v>262</v>
      </c>
      <c r="B263" t="s">
        <v>18</v>
      </c>
      <c r="C263" t="s">
        <v>17</v>
      </c>
      <c r="D263" t="s">
        <v>13</v>
      </c>
      <c r="E263" s="3">
        <v>300</v>
      </c>
      <c r="F263" s="4">
        <v>43534</v>
      </c>
      <c r="G263" s="2" t="s">
        <v>10</v>
      </c>
    </row>
    <row r="264" spans="1:7" x14ac:dyDescent="0.35">
      <c r="A264" s="2">
        <v>263</v>
      </c>
      <c r="B264" t="s">
        <v>20</v>
      </c>
      <c r="C264" t="s">
        <v>21</v>
      </c>
      <c r="D264" t="s">
        <v>22</v>
      </c>
      <c r="E264" s="3">
        <v>120</v>
      </c>
      <c r="F264" s="4">
        <v>43886</v>
      </c>
      <c r="G264" s="2" t="s">
        <v>10</v>
      </c>
    </row>
    <row r="265" spans="1:7" x14ac:dyDescent="0.35">
      <c r="A265" s="2">
        <v>264</v>
      </c>
      <c r="B265" t="s">
        <v>7</v>
      </c>
      <c r="C265" t="s">
        <v>23</v>
      </c>
      <c r="D265" t="s">
        <v>22</v>
      </c>
      <c r="E265" s="3">
        <v>150</v>
      </c>
      <c r="F265" s="4">
        <v>44317</v>
      </c>
      <c r="G265" s="2" t="s">
        <v>10</v>
      </c>
    </row>
    <row r="266" spans="1:7" x14ac:dyDescent="0.35">
      <c r="A266" s="2">
        <v>265</v>
      </c>
      <c r="B266" t="s">
        <v>7</v>
      </c>
      <c r="C266" t="s">
        <v>24</v>
      </c>
      <c r="D266" t="s">
        <v>9</v>
      </c>
      <c r="E266" s="3">
        <v>1200</v>
      </c>
      <c r="F266" s="4">
        <v>44483</v>
      </c>
      <c r="G266" s="2" t="s">
        <v>10</v>
      </c>
    </row>
    <row r="267" spans="1:7" x14ac:dyDescent="0.35">
      <c r="A267" s="2">
        <v>266</v>
      </c>
      <c r="B267" t="s">
        <v>11</v>
      </c>
      <c r="C267" t="s">
        <v>8</v>
      </c>
      <c r="D267" t="s">
        <v>9</v>
      </c>
      <c r="E267" s="3">
        <v>800</v>
      </c>
      <c r="F267" s="4">
        <v>43608</v>
      </c>
      <c r="G267" s="2" t="s">
        <v>10</v>
      </c>
    </row>
    <row r="268" spans="1:7" x14ac:dyDescent="0.35">
      <c r="A268" s="2">
        <v>267</v>
      </c>
      <c r="B268" t="s">
        <v>14</v>
      </c>
      <c r="C268" t="s">
        <v>24</v>
      </c>
      <c r="D268" t="s">
        <v>9</v>
      </c>
      <c r="E268" s="3">
        <v>750</v>
      </c>
      <c r="F268" s="4">
        <v>43570</v>
      </c>
      <c r="G268" s="2" t="s">
        <v>10</v>
      </c>
    </row>
    <row r="269" spans="1:7" x14ac:dyDescent="0.35">
      <c r="A269" s="2">
        <v>268</v>
      </c>
      <c r="B269" t="s">
        <v>16</v>
      </c>
      <c r="C269" t="s">
        <v>25</v>
      </c>
      <c r="D269" t="s">
        <v>9</v>
      </c>
      <c r="E269" s="3">
        <v>4500</v>
      </c>
      <c r="F269" s="4">
        <v>44506</v>
      </c>
      <c r="G269" s="2" t="s">
        <v>10</v>
      </c>
    </row>
    <row r="270" spans="1:7" x14ac:dyDescent="0.35">
      <c r="A270" s="2">
        <v>269</v>
      </c>
      <c r="B270" t="s">
        <v>18</v>
      </c>
      <c r="C270" t="s">
        <v>24</v>
      </c>
      <c r="D270" t="s">
        <v>9</v>
      </c>
      <c r="E270" s="3">
        <v>500</v>
      </c>
      <c r="F270" s="4">
        <v>43930</v>
      </c>
      <c r="G270" s="2" t="s">
        <v>10</v>
      </c>
    </row>
    <row r="271" spans="1:7" x14ac:dyDescent="0.35">
      <c r="A271" s="2">
        <v>270</v>
      </c>
      <c r="B271" t="s">
        <v>20</v>
      </c>
      <c r="C271" t="s">
        <v>25</v>
      </c>
      <c r="D271" t="s">
        <v>9</v>
      </c>
      <c r="E271" s="3">
        <v>750</v>
      </c>
      <c r="F271" s="4">
        <v>44428</v>
      </c>
      <c r="G271" s="2" t="s">
        <v>10</v>
      </c>
    </row>
    <row r="272" spans="1:7" x14ac:dyDescent="0.35">
      <c r="A272" s="2">
        <v>271</v>
      </c>
      <c r="B272" t="s">
        <v>7</v>
      </c>
      <c r="C272" t="s">
        <v>27</v>
      </c>
      <c r="D272" t="s">
        <v>22</v>
      </c>
      <c r="E272" s="3">
        <v>950</v>
      </c>
      <c r="F272" s="4">
        <v>44519</v>
      </c>
      <c r="G272" s="2" t="s">
        <v>10</v>
      </c>
    </row>
    <row r="273" spans="1:7" x14ac:dyDescent="0.35">
      <c r="A273" s="2">
        <v>272</v>
      </c>
      <c r="B273" t="s">
        <v>11</v>
      </c>
      <c r="C273" t="s">
        <v>19</v>
      </c>
      <c r="D273" t="s">
        <v>9</v>
      </c>
      <c r="E273" s="3">
        <v>680</v>
      </c>
      <c r="F273" s="4">
        <v>44036</v>
      </c>
      <c r="G273" s="2" t="s">
        <v>10</v>
      </c>
    </row>
    <row r="274" spans="1:7" x14ac:dyDescent="0.35">
      <c r="A274" s="2">
        <v>273</v>
      </c>
      <c r="B274" t="s">
        <v>14</v>
      </c>
      <c r="C274" t="s">
        <v>8</v>
      </c>
      <c r="D274" t="s">
        <v>9</v>
      </c>
      <c r="E274" s="3">
        <v>950</v>
      </c>
      <c r="F274" s="4">
        <v>43728</v>
      </c>
      <c r="G274" s="2" t="s">
        <v>10</v>
      </c>
    </row>
    <row r="275" spans="1:7" x14ac:dyDescent="0.35">
      <c r="A275" s="2">
        <v>274</v>
      </c>
      <c r="B275" t="s">
        <v>16</v>
      </c>
      <c r="C275" t="s">
        <v>12</v>
      </c>
      <c r="D275" t="s">
        <v>13</v>
      </c>
      <c r="E275" s="3">
        <v>1500</v>
      </c>
      <c r="F275" s="4">
        <v>44545</v>
      </c>
      <c r="G275" s="2" t="s">
        <v>10</v>
      </c>
    </row>
    <row r="276" spans="1:7" x14ac:dyDescent="0.35">
      <c r="A276" s="2">
        <v>275</v>
      </c>
      <c r="B276" t="s">
        <v>18</v>
      </c>
      <c r="C276" t="s">
        <v>15</v>
      </c>
      <c r="D276" t="s">
        <v>13</v>
      </c>
      <c r="E276" s="3">
        <v>5000</v>
      </c>
      <c r="F276" s="4">
        <v>43578</v>
      </c>
      <c r="G276" s="2" t="s">
        <v>10</v>
      </c>
    </row>
    <row r="277" spans="1:7" x14ac:dyDescent="0.35">
      <c r="A277" s="2">
        <v>276</v>
      </c>
      <c r="B277" t="s">
        <v>20</v>
      </c>
      <c r="C277" t="s">
        <v>17</v>
      </c>
      <c r="D277" t="s">
        <v>13</v>
      </c>
      <c r="E277" s="3">
        <v>6500</v>
      </c>
      <c r="F277" s="4">
        <v>44468</v>
      </c>
      <c r="G277" s="2" t="s">
        <v>10</v>
      </c>
    </row>
    <row r="278" spans="1:7" x14ac:dyDescent="0.35">
      <c r="A278" s="2">
        <v>277</v>
      </c>
      <c r="B278" t="s">
        <v>7</v>
      </c>
      <c r="C278" t="s">
        <v>21</v>
      </c>
      <c r="D278" t="s">
        <v>22</v>
      </c>
      <c r="E278" s="3">
        <v>4500</v>
      </c>
      <c r="F278" s="4">
        <v>43824</v>
      </c>
      <c r="G278" s="2" t="s">
        <v>26</v>
      </c>
    </row>
    <row r="279" spans="1:7" x14ac:dyDescent="0.35">
      <c r="A279" s="2">
        <v>278</v>
      </c>
      <c r="B279" t="s">
        <v>11</v>
      </c>
      <c r="C279" t="s">
        <v>23</v>
      </c>
      <c r="D279" t="s">
        <v>22</v>
      </c>
      <c r="E279" s="3">
        <v>500</v>
      </c>
      <c r="F279" s="4">
        <v>43811</v>
      </c>
      <c r="G279" s="2" t="s">
        <v>26</v>
      </c>
    </row>
    <row r="280" spans="1:7" x14ac:dyDescent="0.35">
      <c r="A280" s="2">
        <v>279</v>
      </c>
      <c r="B280" t="s">
        <v>14</v>
      </c>
      <c r="C280" t="s">
        <v>24</v>
      </c>
      <c r="D280" t="s">
        <v>9</v>
      </c>
      <c r="E280" s="3">
        <v>750</v>
      </c>
      <c r="F280" s="4">
        <v>44409</v>
      </c>
      <c r="G280" s="2" t="s">
        <v>26</v>
      </c>
    </row>
    <row r="281" spans="1:7" x14ac:dyDescent="0.35">
      <c r="A281" s="2">
        <v>280</v>
      </c>
      <c r="B281" t="s">
        <v>20</v>
      </c>
      <c r="C281" t="s">
        <v>8</v>
      </c>
      <c r="D281" t="s">
        <v>9</v>
      </c>
      <c r="E281" s="3">
        <v>950</v>
      </c>
      <c r="F281" s="4">
        <v>44317</v>
      </c>
      <c r="G281" s="2" t="s">
        <v>26</v>
      </c>
    </row>
    <row r="282" spans="1:7" x14ac:dyDescent="0.35">
      <c r="A282" s="2">
        <v>281</v>
      </c>
      <c r="B282" t="s">
        <v>7</v>
      </c>
      <c r="C282" t="s">
        <v>12</v>
      </c>
      <c r="D282" t="s">
        <v>13</v>
      </c>
      <c r="E282" s="3">
        <v>680</v>
      </c>
      <c r="F282" s="4">
        <v>43921</v>
      </c>
      <c r="G282" s="2" t="s">
        <v>26</v>
      </c>
    </row>
    <row r="283" spans="1:7" x14ac:dyDescent="0.35">
      <c r="A283" s="2">
        <v>282</v>
      </c>
      <c r="B283" t="s">
        <v>11</v>
      </c>
      <c r="C283" t="s">
        <v>12</v>
      </c>
      <c r="D283" t="s">
        <v>13</v>
      </c>
      <c r="E283" s="3">
        <v>950</v>
      </c>
      <c r="F283" s="4">
        <v>44108</v>
      </c>
      <c r="G283" s="2" t="s">
        <v>26</v>
      </c>
    </row>
    <row r="284" spans="1:7" x14ac:dyDescent="0.35">
      <c r="A284" s="2">
        <v>283</v>
      </c>
      <c r="B284" t="s">
        <v>14</v>
      </c>
      <c r="C284" t="s">
        <v>15</v>
      </c>
      <c r="D284" t="s">
        <v>13</v>
      </c>
      <c r="E284" s="3">
        <v>1500</v>
      </c>
      <c r="F284" s="4">
        <v>43704</v>
      </c>
      <c r="G284" s="2" t="s">
        <v>26</v>
      </c>
    </row>
    <row r="285" spans="1:7" x14ac:dyDescent="0.35">
      <c r="A285" s="2">
        <v>284</v>
      </c>
      <c r="B285" t="s">
        <v>16</v>
      </c>
      <c r="C285" t="s">
        <v>17</v>
      </c>
      <c r="D285" t="s">
        <v>13</v>
      </c>
      <c r="E285" s="3">
        <v>5000</v>
      </c>
      <c r="F285" s="4">
        <v>43948</v>
      </c>
      <c r="G285" s="2" t="s">
        <v>10</v>
      </c>
    </row>
    <row r="286" spans="1:7" x14ac:dyDescent="0.35">
      <c r="A286" s="2">
        <v>285</v>
      </c>
      <c r="B286" t="s">
        <v>18</v>
      </c>
      <c r="C286" t="s">
        <v>21</v>
      </c>
      <c r="D286" t="s">
        <v>22</v>
      </c>
      <c r="E286" s="3">
        <v>6500</v>
      </c>
      <c r="F286" s="4">
        <v>44235</v>
      </c>
      <c r="G286" s="2" t="s">
        <v>10</v>
      </c>
    </row>
    <row r="287" spans="1:7" x14ac:dyDescent="0.35">
      <c r="A287" s="2">
        <v>286</v>
      </c>
      <c r="B287" t="s">
        <v>20</v>
      </c>
      <c r="C287" t="s">
        <v>23</v>
      </c>
      <c r="D287" t="s">
        <v>22</v>
      </c>
      <c r="E287" s="3">
        <v>8500</v>
      </c>
      <c r="F287" s="4">
        <v>44177</v>
      </c>
      <c r="G287" s="2" t="s">
        <v>10</v>
      </c>
    </row>
    <row r="288" spans="1:7" x14ac:dyDescent="0.35">
      <c r="A288" s="2">
        <v>287</v>
      </c>
      <c r="B288" t="s">
        <v>7</v>
      </c>
      <c r="C288" t="s">
        <v>24</v>
      </c>
      <c r="D288" t="s">
        <v>9</v>
      </c>
      <c r="E288" s="3">
        <v>1200</v>
      </c>
      <c r="F288" s="4">
        <v>44429</v>
      </c>
      <c r="G288" s="2" t="s">
        <v>10</v>
      </c>
    </row>
    <row r="289" spans="1:7" x14ac:dyDescent="0.35">
      <c r="A289" s="2">
        <v>288</v>
      </c>
      <c r="B289" t="s">
        <v>11</v>
      </c>
      <c r="C289" t="s">
        <v>25</v>
      </c>
      <c r="D289" t="s">
        <v>9</v>
      </c>
      <c r="E289" s="3">
        <v>300</v>
      </c>
      <c r="F289" s="4">
        <v>44200</v>
      </c>
      <c r="G289" s="2" t="s">
        <v>10</v>
      </c>
    </row>
    <row r="290" spans="1:7" x14ac:dyDescent="0.35">
      <c r="A290" s="2">
        <v>289</v>
      </c>
      <c r="B290" t="s">
        <v>14</v>
      </c>
      <c r="C290" t="s">
        <v>24</v>
      </c>
      <c r="D290" t="s">
        <v>9</v>
      </c>
      <c r="E290" s="3">
        <v>200</v>
      </c>
      <c r="F290" s="4">
        <v>43682</v>
      </c>
      <c r="G290" s="2" t="s">
        <v>10</v>
      </c>
    </row>
    <row r="291" spans="1:7" x14ac:dyDescent="0.35">
      <c r="A291" s="2">
        <v>290</v>
      </c>
      <c r="B291" t="s">
        <v>16</v>
      </c>
      <c r="C291" t="s">
        <v>25</v>
      </c>
      <c r="D291" t="s">
        <v>9</v>
      </c>
      <c r="E291" s="3">
        <v>150</v>
      </c>
      <c r="F291" s="4">
        <v>44126</v>
      </c>
      <c r="G291" s="2" t="s">
        <v>10</v>
      </c>
    </row>
    <row r="292" spans="1:7" x14ac:dyDescent="0.35">
      <c r="A292" s="2">
        <v>291</v>
      </c>
      <c r="B292" t="s">
        <v>11</v>
      </c>
      <c r="C292" t="s">
        <v>27</v>
      </c>
      <c r="D292" t="s">
        <v>22</v>
      </c>
      <c r="E292" s="3">
        <v>120</v>
      </c>
      <c r="F292" s="4">
        <v>43650</v>
      </c>
      <c r="G292" s="2" t="s">
        <v>10</v>
      </c>
    </row>
    <row r="293" spans="1:7" x14ac:dyDescent="0.35">
      <c r="A293" s="2">
        <v>292</v>
      </c>
      <c r="B293" t="s">
        <v>14</v>
      </c>
      <c r="C293" t="s">
        <v>19</v>
      </c>
      <c r="D293" t="s">
        <v>9</v>
      </c>
      <c r="E293" s="3">
        <v>300</v>
      </c>
      <c r="F293" s="4">
        <v>43716</v>
      </c>
      <c r="G293" s="2" t="s">
        <v>10</v>
      </c>
    </row>
    <row r="294" spans="1:7" x14ac:dyDescent="0.35">
      <c r="A294" s="2">
        <v>293</v>
      </c>
      <c r="B294" t="s">
        <v>16</v>
      </c>
      <c r="C294" t="s">
        <v>8</v>
      </c>
      <c r="D294" t="s">
        <v>9</v>
      </c>
      <c r="E294" s="3">
        <v>350</v>
      </c>
      <c r="F294" s="4">
        <v>43500</v>
      </c>
      <c r="G294" s="2" t="s">
        <v>10</v>
      </c>
    </row>
    <row r="295" spans="1:7" x14ac:dyDescent="0.35">
      <c r="A295" s="2">
        <v>294</v>
      </c>
      <c r="B295" t="s">
        <v>18</v>
      </c>
      <c r="C295" t="s">
        <v>12</v>
      </c>
      <c r="D295" t="s">
        <v>13</v>
      </c>
      <c r="E295" s="3">
        <v>300</v>
      </c>
      <c r="F295" s="4">
        <v>44133</v>
      </c>
      <c r="G295" s="2" t="s">
        <v>10</v>
      </c>
    </row>
    <row r="296" spans="1:7" x14ac:dyDescent="0.35">
      <c r="A296" s="2">
        <v>295</v>
      </c>
      <c r="B296" t="s">
        <v>20</v>
      </c>
      <c r="C296" t="s">
        <v>15</v>
      </c>
      <c r="D296" t="s">
        <v>13</v>
      </c>
      <c r="E296" s="3">
        <v>120</v>
      </c>
      <c r="F296" s="4">
        <v>44135</v>
      </c>
      <c r="G296" s="2" t="s">
        <v>10</v>
      </c>
    </row>
    <row r="297" spans="1:7" x14ac:dyDescent="0.35">
      <c r="A297" s="2">
        <v>296</v>
      </c>
      <c r="B297" t="s">
        <v>7</v>
      </c>
      <c r="C297" t="s">
        <v>17</v>
      </c>
      <c r="D297" t="s">
        <v>13</v>
      </c>
      <c r="E297" s="3">
        <v>150</v>
      </c>
      <c r="F297" s="4">
        <v>43774</v>
      </c>
      <c r="G297" s="2" t="s">
        <v>10</v>
      </c>
    </row>
    <row r="298" spans="1:7" x14ac:dyDescent="0.35">
      <c r="A298" s="2">
        <v>297</v>
      </c>
      <c r="B298" t="s">
        <v>11</v>
      </c>
      <c r="C298" t="s">
        <v>21</v>
      </c>
      <c r="D298" t="s">
        <v>22</v>
      </c>
      <c r="E298" s="3">
        <v>8500</v>
      </c>
      <c r="F298" s="4">
        <v>43529</v>
      </c>
      <c r="G298" s="2" t="s">
        <v>10</v>
      </c>
    </row>
    <row r="299" spans="1:7" x14ac:dyDescent="0.35">
      <c r="A299" s="2">
        <v>298</v>
      </c>
      <c r="B299" t="s">
        <v>14</v>
      </c>
      <c r="C299" t="s">
        <v>23</v>
      </c>
      <c r="D299" t="s">
        <v>22</v>
      </c>
      <c r="E299" s="3">
        <v>1200</v>
      </c>
      <c r="F299" s="4">
        <v>44122</v>
      </c>
      <c r="G299" s="2" t="s">
        <v>10</v>
      </c>
    </row>
    <row r="300" spans="1:7" x14ac:dyDescent="0.35">
      <c r="A300" s="2">
        <v>299</v>
      </c>
      <c r="B300" t="s">
        <v>20</v>
      </c>
      <c r="C300" t="s">
        <v>24</v>
      </c>
      <c r="D300" t="s">
        <v>9</v>
      </c>
      <c r="E300" s="3">
        <v>300</v>
      </c>
      <c r="F300" s="4">
        <v>44343</v>
      </c>
      <c r="G300" s="2" t="s">
        <v>10</v>
      </c>
    </row>
    <row r="301" spans="1:7" x14ac:dyDescent="0.35">
      <c r="A301" s="2">
        <v>300</v>
      </c>
      <c r="B301" t="s">
        <v>7</v>
      </c>
      <c r="C301" t="s">
        <v>8</v>
      </c>
      <c r="D301" t="s">
        <v>9</v>
      </c>
      <c r="E301" s="3">
        <v>200</v>
      </c>
      <c r="F301" s="4">
        <v>43864</v>
      </c>
      <c r="G301" s="2" t="s">
        <v>10</v>
      </c>
    </row>
    <row r="302" spans="1:7" x14ac:dyDescent="0.35">
      <c r="A302" s="2">
        <v>301</v>
      </c>
      <c r="B302" t="s">
        <v>11</v>
      </c>
      <c r="C302" t="s">
        <v>12</v>
      </c>
      <c r="D302" t="s">
        <v>13</v>
      </c>
      <c r="E302" s="3">
        <v>150</v>
      </c>
      <c r="F302" s="4">
        <v>43967</v>
      </c>
      <c r="G302" s="2" t="s">
        <v>10</v>
      </c>
    </row>
    <row r="303" spans="1:7" x14ac:dyDescent="0.35">
      <c r="A303" s="2">
        <v>302</v>
      </c>
      <c r="B303" t="s">
        <v>14</v>
      </c>
      <c r="C303" t="s">
        <v>12</v>
      </c>
      <c r="D303" t="s">
        <v>13</v>
      </c>
      <c r="E303" s="3">
        <v>120</v>
      </c>
      <c r="F303" s="4">
        <v>43690</v>
      </c>
      <c r="G303" s="2" t="s">
        <v>10</v>
      </c>
    </row>
    <row r="304" spans="1:7" x14ac:dyDescent="0.35">
      <c r="A304" s="2">
        <v>303</v>
      </c>
      <c r="B304" t="s">
        <v>16</v>
      </c>
      <c r="C304" t="s">
        <v>15</v>
      </c>
      <c r="D304" t="s">
        <v>13</v>
      </c>
      <c r="E304" s="3">
        <v>300</v>
      </c>
      <c r="F304" s="4">
        <v>43507</v>
      </c>
      <c r="G304" s="2" t="s">
        <v>10</v>
      </c>
    </row>
    <row r="305" spans="1:7" x14ac:dyDescent="0.35">
      <c r="A305" s="2">
        <v>304</v>
      </c>
      <c r="B305" t="s">
        <v>18</v>
      </c>
      <c r="C305" t="s">
        <v>17</v>
      </c>
      <c r="D305" t="s">
        <v>13</v>
      </c>
      <c r="E305" s="3">
        <v>350</v>
      </c>
      <c r="F305" s="4">
        <v>43866</v>
      </c>
      <c r="G305" s="2" t="s">
        <v>10</v>
      </c>
    </row>
    <row r="306" spans="1:7" x14ac:dyDescent="0.35">
      <c r="A306" s="2">
        <v>305</v>
      </c>
      <c r="B306" t="s">
        <v>20</v>
      </c>
      <c r="C306" t="s">
        <v>21</v>
      </c>
      <c r="D306" t="s">
        <v>22</v>
      </c>
      <c r="E306" s="3">
        <v>300</v>
      </c>
      <c r="F306" s="4">
        <v>43683</v>
      </c>
      <c r="G306" s="2" t="s">
        <v>26</v>
      </c>
    </row>
    <row r="307" spans="1:7" x14ac:dyDescent="0.35">
      <c r="A307" s="2">
        <v>306</v>
      </c>
      <c r="B307" t="s">
        <v>7</v>
      </c>
      <c r="C307" t="s">
        <v>23</v>
      </c>
      <c r="D307" t="s">
        <v>22</v>
      </c>
      <c r="E307" s="3">
        <v>120</v>
      </c>
      <c r="F307" s="4">
        <v>43639</v>
      </c>
      <c r="G307" s="2" t="s">
        <v>26</v>
      </c>
    </row>
    <row r="308" spans="1:7" x14ac:dyDescent="0.35">
      <c r="A308" s="2">
        <v>307</v>
      </c>
      <c r="B308" t="s">
        <v>11</v>
      </c>
      <c r="C308" t="s">
        <v>24</v>
      </c>
      <c r="D308" t="s">
        <v>9</v>
      </c>
      <c r="E308" s="3">
        <v>150</v>
      </c>
      <c r="F308" s="4">
        <v>43605</v>
      </c>
      <c r="G308" s="2" t="s">
        <v>26</v>
      </c>
    </row>
    <row r="309" spans="1:7" x14ac:dyDescent="0.35">
      <c r="A309" s="2">
        <v>308</v>
      </c>
      <c r="B309" t="s">
        <v>14</v>
      </c>
      <c r="C309" t="s">
        <v>25</v>
      </c>
      <c r="D309" t="s">
        <v>9</v>
      </c>
      <c r="E309" s="3">
        <v>1200</v>
      </c>
      <c r="F309" s="4">
        <v>43769</v>
      </c>
      <c r="G309" s="2" t="s">
        <v>26</v>
      </c>
    </row>
    <row r="310" spans="1:7" x14ac:dyDescent="0.35">
      <c r="A310" s="2">
        <v>309</v>
      </c>
      <c r="B310" t="s">
        <v>16</v>
      </c>
      <c r="C310" t="s">
        <v>24</v>
      </c>
      <c r="D310" t="s">
        <v>9</v>
      </c>
      <c r="E310" s="3">
        <v>800</v>
      </c>
      <c r="F310" s="4">
        <v>43491</v>
      </c>
      <c r="G310" s="2" t="s">
        <v>26</v>
      </c>
    </row>
    <row r="311" spans="1:7" x14ac:dyDescent="0.35">
      <c r="A311" s="2">
        <v>310</v>
      </c>
      <c r="B311" t="s">
        <v>18</v>
      </c>
      <c r="C311" t="s">
        <v>25</v>
      </c>
      <c r="D311" t="s">
        <v>9</v>
      </c>
      <c r="E311" s="3">
        <v>750</v>
      </c>
      <c r="F311" s="4">
        <v>44079</v>
      </c>
      <c r="G311" s="2" t="s">
        <v>26</v>
      </c>
    </row>
    <row r="312" spans="1:7" x14ac:dyDescent="0.35">
      <c r="A312" s="2">
        <v>311</v>
      </c>
      <c r="B312" t="s">
        <v>20</v>
      </c>
      <c r="C312" t="s">
        <v>27</v>
      </c>
      <c r="D312" t="s">
        <v>22</v>
      </c>
      <c r="E312" s="3">
        <v>4500</v>
      </c>
      <c r="F312" s="4">
        <v>44060</v>
      </c>
      <c r="G312" s="2" t="s">
        <v>26</v>
      </c>
    </row>
    <row r="313" spans="1:7" x14ac:dyDescent="0.35">
      <c r="A313" s="2">
        <v>312</v>
      </c>
      <c r="B313" t="s">
        <v>7</v>
      </c>
      <c r="C313" t="s">
        <v>19</v>
      </c>
      <c r="D313" t="s">
        <v>9</v>
      </c>
      <c r="E313" s="3">
        <v>500</v>
      </c>
      <c r="F313" s="4">
        <v>44556</v>
      </c>
      <c r="G313" s="2" t="s">
        <v>10</v>
      </c>
    </row>
    <row r="314" spans="1:7" x14ac:dyDescent="0.35">
      <c r="A314" s="2">
        <v>313</v>
      </c>
      <c r="B314" t="s">
        <v>11</v>
      </c>
      <c r="C314" t="s">
        <v>8</v>
      </c>
      <c r="D314" t="s">
        <v>9</v>
      </c>
      <c r="E314" s="3">
        <v>750</v>
      </c>
      <c r="F314" s="4">
        <v>43721</v>
      </c>
      <c r="G314" s="2" t="s">
        <v>10</v>
      </c>
    </row>
    <row r="315" spans="1:7" x14ac:dyDescent="0.35">
      <c r="A315" s="2">
        <v>314</v>
      </c>
      <c r="B315" t="s">
        <v>14</v>
      </c>
      <c r="C315" t="s">
        <v>12</v>
      </c>
      <c r="D315" t="s">
        <v>13</v>
      </c>
      <c r="E315" s="3">
        <v>950</v>
      </c>
      <c r="F315" s="4">
        <v>43761</v>
      </c>
      <c r="G315" s="2" t="s">
        <v>10</v>
      </c>
    </row>
    <row r="316" spans="1:7" x14ac:dyDescent="0.35">
      <c r="A316" s="2">
        <v>315</v>
      </c>
      <c r="B316" t="s">
        <v>16</v>
      </c>
      <c r="C316" t="s">
        <v>15</v>
      </c>
      <c r="D316" t="s">
        <v>13</v>
      </c>
      <c r="E316" s="3">
        <v>680</v>
      </c>
      <c r="F316" s="4">
        <v>44266</v>
      </c>
      <c r="G316" s="2" t="s">
        <v>10</v>
      </c>
    </row>
    <row r="317" spans="1:7" x14ac:dyDescent="0.35">
      <c r="A317" s="2">
        <v>316</v>
      </c>
      <c r="B317" t="s">
        <v>18</v>
      </c>
      <c r="C317" t="s">
        <v>17</v>
      </c>
      <c r="D317" t="s">
        <v>13</v>
      </c>
      <c r="E317" s="3">
        <v>950</v>
      </c>
      <c r="F317" s="4">
        <v>43559</v>
      </c>
      <c r="G317" s="2" t="s">
        <v>10</v>
      </c>
    </row>
    <row r="318" spans="1:7" x14ac:dyDescent="0.35">
      <c r="A318" s="2">
        <v>317</v>
      </c>
      <c r="B318" t="s">
        <v>20</v>
      </c>
      <c r="C318" t="s">
        <v>21</v>
      </c>
      <c r="D318" t="s">
        <v>22</v>
      </c>
      <c r="E318" s="3">
        <v>1500</v>
      </c>
      <c r="F318" s="4">
        <v>44116</v>
      </c>
      <c r="G318" s="2" t="s">
        <v>10</v>
      </c>
    </row>
    <row r="319" spans="1:7" x14ac:dyDescent="0.35">
      <c r="A319" s="2">
        <v>318</v>
      </c>
      <c r="B319" t="s">
        <v>7</v>
      </c>
      <c r="C319" t="s">
        <v>23</v>
      </c>
      <c r="D319" t="s">
        <v>22</v>
      </c>
      <c r="E319" s="3">
        <v>5000</v>
      </c>
      <c r="F319" s="4">
        <v>43955</v>
      </c>
      <c r="G319" s="2" t="s">
        <v>10</v>
      </c>
    </row>
    <row r="320" spans="1:7" x14ac:dyDescent="0.35">
      <c r="A320" s="2">
        <v>319</v>
      </c>
      <c r="B320" t="s">
        <v>11</v>
      </c>
      <c r="C320" t="s">
        <v>24</v>
      </c>
      <c r="D320" t="s">
        <v>9</v>
      </c>
      <c r="E320" s="3">
        <v>6500</v>
      </c>
      <c r="F320" s="4">
        <v>43727</v>
      </c>
      <c r="G320" s="2" t="s">
        <v>26</v>
      </c>
    </row>
    <row r="321" spans="1:7" x14ac:dyDescent="0.35">
      <c r="A321" s="2">
        <v>320</v>
      </c>
      <c r="B321" t="s">
        <v>14</v>
      </c>
      <c r="C321" t="s">
        <v>8</v>
      </c>
      <c r="D321" t="s">
        <v>9</v>
      </c>
      <c r="E321" s="3">
        <v>1200</v>
      </c>
      <c r="F321" s="4">
        <v>44358</v>
      </c>
      <c r="G321" s="2" t="s">
        <v>26</v>
      </c>
    </row>
    <row r="322" spans="1:7" x14ac:dyDescent="0.35">
      <c r="A322" s="2">
        <v>321</v>
      </c>
      <c r="B322" t="s">
        <v>16</v>
      </c>
      <c r="C322" t="s">
        <v>12</v>
      </c>
      <c r="D322" t="s">
        <v>13</v>
      </c>
      <c r="E322" s="3">
        <v>800</v>
      </c>
      <c r="F322" s="4">
        <v>44440</v>
      </c>
      <c r="G322" s="2" t="s">
        <v>26</v>
      </c>
    </row>
    <row r="323" spans="1:7" x14ac:dyDescent="0.35">
      <c r="A323" s="2">
        <v>322</v>
      </c>
      <c r="B323" t="s">
        <v>18</v>
      </c>
      <c r="C323" t="s">
        <v>12</v>
      </c>
      <c r="D323" t="s">
        <v>13</v>
      </c>
      <c r="E323" s="3">
        <v>750</v>
      </c>
      <c r="F323" s="4">
        <v>44217</v>
      </c>
      <c r="G323" s="2" t="s">
        <v>26</v>
      </c>
    </row>
    <row r="324" spans="1:7" x14ac:dyDescent="0.35">
      <c r="A324" s="2">
        <v>323</v>
      </c>
      <c r="B324" t="s">
        <v>20</v>
      </c>
      <c r="C324" t="s">
        <v>15</v>
      </c>
      <c r="D324" t="s">
        <v>13</v>
      </c>
      <c r="E324" s="3">
        <v>4500</v>
      </c>
      <c r="F324" s="4">
        <v>43593</v>
      </c>
      <c r="G324" s="2" t="s">
        <v>26</v>
      </c>
    </row>
    <row r="325" spans="1:7" x14ac:dyDescent="0.35">
      <c r="A325" s="2">
        <v>324</v>
      </c>
      <c r="B325" t="s">
        <v>7</v>
      </c>
      <c r="C325" t="s">
        <v>17</v>
      </c>
      <c r="D325" t="s">
        <v>13</v>
      </c>
      <c r="E325" s="3">
        <v>500</v>
      </c>
      <c r="F325" s="4">
        <v>44424</v>
      </c>
      <c r="G325" s="2" t="s">
        <v>26</v>
      </c>
    </row>
    <row r="326" spans="1:7" x14ac:dyDescent="0.35">
      <c r="A326" s="2">
        <v>325</v>
      </c>
      <c r="B326" t="s">
        <v>11</v>
      </c>
      <c r="C326" t="s">
        <v>21</v>
      </c>
      <c r="D326" t="s">
        <v>22</v>
      </c>
      <c r="E326" s="3">
        <v>750</v>
      </c>
      <c r="F326" s="4">
        <v>44116</v>
      </c>
      <c r="G326" s="2" t="s">
        <v>10</v>
      </c>
    </row>
    <row r="327" spans="1:7" x14ac:dyDescent="0.35">
      <c r="A327" s="2">
        <v>326</v>
      </c>
      <c r="B327" t="s">
        <v>14</v>
      </c>
      <c r="C327" t="s">
        <v>23</v>
      </c>
      <c r="D327" t="s">
        <v>22</v>
      </c>
      <c r="E327" s="3">
        <v>950</v>
      </c>
      <c r="F327" s="4">
        <v>43611</v>
      </c>
      <c r="G327" s="2" t="s">
        <v>10</v>
      </c>
    </row>
    <row r="328" spans="1:7" x14ac:dyDescent="0.35">
      <c r="A328" s="2">
        <v>327</v>
      </c>
      <c r="B328" t="s">
        <v>16</v>
      </c>
      <c r="C328" t="s">
        <v>24</v>
      </c>
      <c r="D328" t="s">
        <v>9</v>
      </c>
      <c r="E328" s="3">
        <v>680</v>
      </c>
      <c r="F328" s="4">
        <v>44302</v>
      </c>
      <c r="G328" s="2" t="s">
        <v>10</v>
      </c>
    </row>
    <row r="329" spans="1:7" x14ac:dyDescent="0.35">
      <c r="A329" s="2">
        <v>328</v>
      </c>
      <c r="B329" t="s">
        <v>18</v>
      </c>
      <c r="C329" t="s">
        <v>25</v>
      </c>
      <c r="D329" t="s">
        <v>9</v>
      </c>
      <c r="E329" s="3">
        <v>950</v>
      </c>
      <c r="F329" s="4">
        <v>44411</v>
      </c>
      <c r="G329" s="2" t="s">
        <v>10</v>
      </c>
    </row>
    <row r="330" spans="1:7" x14ac:dyDescent="0.35">
      <c r="A330" s="2">
        <v>329</v>
      </c>
      <c r="B330" t="s">
        <v>20</v>
      </c>
      <c r="C330" t="s">
        <v>24</v>
      </c>
      <c r="D330" t="s">
        <v>9</v>
      </c>
      <c r="E330" s="3">
        <v>1500</v>
      </c>
      <c r="F330" s="4">
        <v>43797</v>
      </c>
      <c r="G330" s="2" t="s">
        <v>10</v>
      </c>
    </row>
    <row r="331" spans="1:7" x14ac:dyDescent="0.35">
      <c r="A331" s="2">
        <v>330</v>
      </c>
      <c r="B331" t="s">
        <v>7</v>
      </c>
      <c r="C331" t="s">
        <v>25</v>
      </c>
      <c r="D331" t="s">
        <v>9</v>
      </c>
      <c r="E331" s="3">
        <v>5000</v>
      </c>
      <c r="F331" s="4">
        <v>44459</v>
      </c>
      <c r="G331" s="2" t="s">
        <v>10</v>
      </c>
    </row>
    <row r="332" spans="1:7" x14ac:dyDescent="0.35">
      <c r="A332" s="2">
        <v>331</v>
      </c>
      <c r="B332" t="s">
        <v>11</v>
      </c>
      <c r="C332" t="s">
        <v>27</v>
      </c>
      <c r="D332" t="s">
        <v>22</v>
      </c>
      <c r="E332" s="3">
        <v>6500</v>
      </c>
      <c r="F332" s="4">
        <v>43798</v>
      </c>
      <c r="G332" s="2" t="s">
        <v>10</v>
      </c>
    </row>
    <row r="333" spans="1:7" x14ac:dyDescent="0.35">
      <c r="A333" s="2">
        <v>332</v>
      </c>
      <c r="B333" t="s">
        <v>14</v>
      </c>
      <c r="C333" t="s">
        <v>19</v>
      </c>
      <c r="D333" t="s">
        <v>9</v>
      </c>
      <c r="E333" s="3">
        <v>8500</v>
      </c>
      <c r="F333" s="4">
        <v>43779</v>
      </c>
      <c r="G333" s="2" t="s">
        <v>10</v>
      </c>
    </row>
    <row r="334" spans="1:7" x14ac:dyDescent="0.35">
      <c r="A334" s="2">
        <v>333</v>
      </c>
      <c r="B334" t="s">
        <v>20</v>
      </c>
      <c r="C334" t="s">
        <v>8</v>
      </c>
      <c r="D334" t="s">
        <v>9</v>
      </c>
      <c r="E334" s="3">
        <v>1200</v>
      </c>
      <c r="F334" s="4">
        <v>43879</v>
      </c>
      <c r="G334" s="2" t="s">
        <v>10</v>
      </c>
    </row>
    <row r="335" spans="1:7" x14ac:dyDescent="0.35">
      <c r="A335" s="2">
        <v>334</v>
      </c>
      <c r="B335" t="s">
        <v>7</v>
      </c>
      <c r="C335" t="s">
        <v>12</v>
      </c>
      <c r="D335" t="s">
        <v>13</v>
      </c>
      <c r="E335" s="3">
        <v>300</v>
      </c>
      <c r="F335" s="4">
        <v>44310</v>
      </c>
      <c r="G335" s="2" t="s">
        <v>10</v>
      </c>
    </row>
    <row r="336" spans="1:7" x14ac:dyDescent="0.35">
      <c r="A336" s="2">
        <v>335</v>
      </c>
      <c r="B336" t="s">
        <v>11</v>
      </c>
      <c r="C336" t="s">
        <v>15</v>
      </c>
      <c r="D336" t="s">
        <v>13</v>
      </c>
      <c r="E336" s="3">
        <v>200</v>
      </c>
      <c r="F336" s="4">
        <v>44190</v>
      </c>
      <c r="G336" s="2" t="s">
        <v>10</v>
      </c>
    </row>
    <row r="337" spans="1:7" x14ac:dyDescent="0.35">
      <c r="A337" s="2">
        <v>336</v>
      </c>
      <c r="B337" t="s">
        <v>14</v>
      </c>
      <c r="C337" t="s">
        <v>17</v>
      </c>
      <c r="D337" t="s">
        <v>13</v>
      </c>
      <c r="E337" s="3">
        <v>150</v>
      </c>
      <c r="F337" s="4">
        <v>44401</v>
      </c>
      <c r="G337" s="2" t="s">
        <v>10</v>
      </c>
    </row>
    <row r="338" spans="1:7" x14ac:dyDescent="0.35">
      <c r="A338" s="2">
        <v>337</v>
      </c>
      <c r="B338" t="s">
        <v>16</v>
      </c>
      <c r="C338" t="s">
        <v>21</v>
      </c>
      <c r="D338" t="s">
        <v>22</v>
      </c>
      <c r="E338" s="3">
        <v>120</v>
      </c>
      <c r="F338" s="4">
        <v>43586</v>
      </c>
      <c r="G338" s="2" t="s">
        <v>10</v>
      </c>
    </row>
    <row r="339" spans="1:7" x14ac:dyDescent="0.35">
      <c r="A339" s="2">
        <v>338</v>
      </c>
      <c r="B339" t="s">
        <v>18</v>
      </c>
      <c r="C339" t="s">
        <v>23</v>
      </c>
      <c r="D339" t="s">
        <v>22</v>
      </c>
      <c r="E339" s="3">
        <v>300</v>
      </c>
      <c r="F339" s="4">
        <v>43836</v>
      </c>
      <c r="G339" s="2" t="s">
        <v>10</v>
      </c>
    </row>
    <row r="340" spans="1:7" x14ac:dyDescent="0.35">
      <c r="A340" s="2">
        <v>339</v>
      </c>
      <c r="B340" t="s">
        <v>20</v>
      </c>
      <c r="C340" t="s">
        <v>24</v>
      </c>
      <c r="D340" t="s">
        <v>9</v>
      </c>
      <c r="E340" s="3">
        <v>350</v>
      </c>
      <c r="F340" s="4">
        <v>43734</v>
      </c>
      <c r="G340" s="2" t="s">
        <v>10</v>
      </c>
    </row>
    <row r="341" spans="1:7" x14ac:dyDescent="0.35">
      <c r="A341" s="2">
        <v>340</v>
      </c>
      <c r="B341" t="s">
        <v>7</v>
      </c>
      <c r="C341" t="s">
        <v>8</v>
      </c>
      <c r="D341" t="s">
        <v>9</v>
      </c>
      <c r="E341" s="3">
        <v>300</v>
      </c>
      <c r="F341" s="4">
        <v>44155</v>
      </c>
      <c r="G341" s="2" t="s">
        <v>10</v>
      </c>
    </row>
    <row r="342" spans="1:7" x14ac:dyDescent="0.35">
      <c r="A342" s="2">
        <v>341</v>
      </c>
      <c r="B342" t="s">
        <v>11</v>
      </c>
      <c r="C342" t="s">
        <v>12</v>
      </c>
      <c r="D342" t="s">
        <v>13</v>
      </c>
      <c r="E342" s="3">
        <v>120</v>
      </c>
      <c r="F342" s="4">
        <v>43836</v>
      </c>
      <c r="G342" s="2" t="s">
        <v>10</v>
      </c>
    </row>
    <row r="343" spans="1:7" x14ac:dyDescent="0.35">
      <c r="A343" s="2">
        <v>342</v>
      </c>
      <c r="B343" t="s">
        <v>14</v>
      </c>
      <c r="C343" t="s">
        <v>15</v>
      </c>
      <c r="D343" t="s">
        <v>13</v>
      </c>
      <c r="E343" s="3">
        <v>150</v>
      </c>
      <c r="F343" s="4">
        <v>43778</v>
      </c>
      <c r="G343" s="2" t="s">
        <v>10</v>
      </c>
    </row>
    <row r="344" spans="1:7" x14ac:dyDescent="0.35">
      <c r="A344" s="2">
        <v>343</v>
      </c>
      <c r="B344" t="s">
        <v>16</v>
      </c>
      <c r="C344" t="s">
        <v>17</v>
      </c>
      <c r="D344" t="s">
        <v>13</v>
      </c>
      <c r="E344" s="3">
        <v>1200</v>
      </c>
      <c r="F344" s="4">
        <v>43881</v>
      </c>
      <c r="G344" s="2" t="s">
        <v>10</v>
      </c>
    </row>
    <row r="345" spans="1:7" x14ac:dyDescent="0.35">
      <c r="A345" s="2">
        <v>344</v>
      </c>
      <c r="B345" t="s">
        <v>18</v>
      </c>
      <c r="C345" t="s">
        <v>19</v>
      </c>
      <c r="D345" t="s">
        <v>9</v>
      </c>
      <c r="E345" s="3">
        <v>800</v>
      </c>
      <c r="F345" s="4">
        <v>43485</v>
      </c>
      <c r="G345" s="2" t="s">
        <v>10</v>
      </c>
    </row>
    <row r="346" spans="1:7" x14ac:dyDescent="0.35">
      <c r="A346" s="2">
        <v>345</v>
      </c>
      <c r="B346" t="s">
        <v>20</v>
      </c>
      <c r="C346" t="s">
        <v>8</v>
      </c>
      <c r="D346" t="s">
        <v>9</v>
      </c>
      <c r="E346" s="3">
        <v>750</v>
      </c>
      <c r="F346" s="4">
        <v>43697</v>
      </c>
      <c r="G346" s="2" t="s">
        <v>10</v>
      </c>
    </row>
    <row r="347" spans="1:7" x14ac:dyDescent="0.35">
      <c r="A347" s="2">
        <v>346</v>
      </c>
      <c r="B347" t="s">
        <v>7</v>
      </c>
      <c r="C347" t="s">
        <v>12</v>
      </c>
      <c r="D347" t="s">
        <v>13</v>
      </c>
      <c r="E347" s="3">
        <v>4500</v>
      </c>
      <c r="F347" s="4">
        <v>44525</v>
      </c>
      <c r="G347" s="2" t="s">
        <v>26</v>
      </c>
    </row>
    <row r="348" spans="1:7" x14ac:dyDescent="0.35">
      <c r="A348" s="2">
        <v>347</v>
      </c>
      <c r="B348" t="s">
        <v>11</v>
      </c>
      <c r="C348" t="s">
        <v>12</v>
      </c>
      <c r="D348" t="s">
        <v>13</v>
      </c>
      <c r="E348" s="3">
        <v>500</v>
      </c>
      <c r="F348" s="4">
        <v>44319</v>
      </c>
      <c r="G348" s="2" t="s">
        <v>26</v>
      </c>
    </row>
    <row r="349" spans="1:7" x14ac:dyDescent="0.35">
      <c r="A349" s="2">
        <v>348</v>
      </c>
      <c r="B349" t="s">
        <v>14</v>
      </c>
      <c r="C349" t="s">
        <v>15</v>
      </c>
      <c r="D349" t="s">
        <v>13</v>
      </c>
      <c r="E349" s="3">
        <v>750</v>
      </c>
      <c r="F349" s="4">
        <v>44556</v>
      </c>
      <c r="G349" s="2" t="s">
        <v>26</v>
      </c>
    </row>
    <row r="350" spans="1:7" x14ac:dyDescent="0.35">
      <c r="A350" s="2">
        <v>349</v>
      </c>
      <c r="B350" t="s">
        <v>16</v>
      </c>
      <c r="C350" t="s">
        <v>17</v>
      </c>
      <c r="D350" t="s">
        <v>13</v>
      </c>
      <c r="E350" s="3">
        <v>950</v>
      </c>
      <c r="F350" s="4">
        <v>43778</v>
      </c>
      <c r="G350" s="2" t="s">
        <v>26</v>
      </c>
    </row>
    <row r="351" spans="1:7" x14ac:dyDescent="0.35">
      <c r="A351" s="2">
        <v>350</v>
      </c>
      <c r="B351" t="s">
        <v>18</v>
      </c>
      <c r="C351" t="s">
        <v>21</v>
      </c>
      <c r="D351" t="s">
        <v>22</v>
      </c>
      <c r="E351" s="3">
        <v>680</v>
      </c>
      <c r="F351" s="4">
        <v>44198</v>
      </c>
      <c r="G351" s="2" t="s">
        <v>26</v>
      </c>
    </row>
    <row r="352" spans="1:7" x14ac:dyDescent="0.35">
      <c r="A352" s="2">
        <v>351</v>
      </c>
      <c r="B352" t="s">
        <v>20</v>
      </c>
      <c r="C352" t="s">
        <v>23</v>
      </c>
      <c r="D352" t="s">
        <v>22</v>
      </c>
      <c r="E352" s="3">
        <v>950</v>
      </c>
      <c r="F352" s="4">
        <v>44277</v>
      </c>
      <c r="G352" s="2" t="s">
        <v>26</v>
      </c>
    </row>
    <row r="353" spans="1:7" x14ac:dyDescent="0.35">
      <c r="A353" s="2">
        <v>352</v>
      </c>
      <c r="B353" t="s">
        <v>7</v>
      </c>
      <c r="C353" t="s">
        <v>24</v>
      </c>
      <c r="D353" t="s">
        <v>9</v>
      </c>
      <c r="E353" s="3">
        <v>1500</v>
      </c>
      <c r="F353" s="4">
        <v>43523</v>
      </c>
      <c r="G353" s="2" t="s">
        <v>26</v>
      </c>
    </row>
    <row r="354" spans="1:7" x14ac:dyDescent="0.35">
      <c r="A354" s="2">
        <v>353</v>
      </c>
      <c r="B354" t="s">
        <v>14</v>
      </c>
      <c r="C354" t="s">
        <v>25</v>
      </c>
      <c r="D354" t="s">
        <v>9</v>
      </c>
      <c r="E354" s="3">
        <v>5000</v>
      </c>
      <c r="F354" s="4">
        <v>44172</v>
      </c>
      <c r="G354" s="2" t="s">
        <v>10</v>
      </c>
    </row>
    <row r="355" spans="1:7" x14ac:dyDescent="0.35">
      <c r="A355" s="2">
        <v>354</v>
      </c>
      <c r="B355" t="s">
        <v>16</v>
      </c>
      <c r="C355" t="s">
        <v>24</v>
      </c>
      <c r="D355" t="s">
        <v>9</v>
      </c>
      <c r="E355" s="3">
        <v>6500</v>
      </c>
      <c r="F355" s="4">
        <v>44004</v>
      </c>
      <c r="G355" s="2" t="s">
        <v>10</v>
      </c>
    </row>
    <row r="356" spans="1:7" x14ac:dyDescent="0.35">
      <c r="A356" s="2">
        <v>355</v>
      </c>
      <c r="B356" t="s">
        <v>18</v>
      </c>
      <c r="C356" t="s">
        <v>25</v>
      </c>
      <c r="D356" t="s">
        <v>9</v>
      </c>
      <c r="E356" s="3">
        <v>8500</v>
      </c>
      <c r="F356" s="4">
        <v>43666</v>
      </c>
      <c r="G356" s="2" t="s">
        <v>10</v>
      </c>
    </row>
    <row r="357" spans="1:7" x14ac:dyDescent="0.35">
      <c r="A357" s="2">
        <v>356</v>
      </c>
      <c r="B357" t="s">
        <v>20</v>
      </c>
      <c r="C357" t="s">
        <v>27</v>
      </c>
      <c r="D357" t="s">
        <v>22</v>
      </c>
      <c r="E357" s="3">
        <v>1200</v>
      </c>
      <c r="F357" s="4">
        <v>44290</v>
      </c>
      <c r="G357" s="2" t="s">
        <v>10</v>
      </c>
    </row>
    <row r="358" spans="1:7" x14ac:dyDescent="0.35">
      <c r="A358" s="2">
        <v>357</v>
      </c>
      <c r="B358" t="s">
        <v>7</v>
      </c>
      <c r="C358" t="s">
        <v>19</v>
      </c>
      <c r="D358" t="s">
        <v>9</v>
      </c>
      <c r="E358" s="3">
        <v>300</v>
      </c>
      <c r="F358" s="4">
        <v>44102</v>
      </c>
      <c r="G358" s="2" t="s">
        <v>10</v>
      </c>
    </row>
    <row r="359" spans="1:7" x14ac:dyDescent="0.35">
      <c r="A359" s="2">
        <v>358</v>
      </c>
      <c r="B359" t="s">
        <v>11</v>
      </c>
      <c r="C359" t="s">
        <v>8</v>
      </c>
      <c r="D359" t="s">
        <v>9</v>
      </c>
      <c r="E359" s="3">
        <v>200</v>
      </c>
      <c r="F359" s="4">
        <v>43572</v>
      </c>
      <c r="G359" s="2" t="s">
        <v>10</v>
      </c>
    </row>
    <row r="360" spans="1:7" x14ac:dyDescent="0.35">
      <c r="A360" s="2">
        <v>359</v>
      </c>
      <c r="B360" t="s">
        <v>14</v>
      </c>
      <c r="C360" t="s">
        <v>12</v>
      </c>
      <c r="D360" t="s">
        <v>13</v>
      </c>
      <c r="E360" s="3">
        <v>150</v>
      </c>
      <c r="F360" s="4">
        <v>44424</v>
      </c>
      <c r="G360" s="2" t="s">
        <v>10</v>
      </c>
    </row>
    <row r="361" spans="1:7" x14ac:dyDescent="0.35">
      <c r="A361" s="2">
        <v>360</v>
      </c>
      <c r="B361" t="s">
        <v>20</v>
      </c>
      <c r="C361" t="s">
        <v>15</v>
      </c>
      <c r="D361" t="s">
        <v>13</v>
      </c>
      <c r="E361" s="3">
        <v>120</v>
      </c>
      <c r="F361" s="4">
        <v>43867</v>
      </c>
      <c r="G361" s="2" t="s">
        <v>10</v>
      </c>
    </row>
    <row r="362" spans="1:7" x14ac:dyDescent="0.35">
      <c r="A362" s="2">
        <v>361</v>
      </c>
      <c r="B362" t="s">
        <v>7</v>
      </c>
      <c r="C362" t="s">
        <v>17</v>
      </c>
      <c r="D362" t="s">
        <v>13</v>
      </c>
      <c r="E362" s="3">
        <v>300</v>
      </c>
      <c r="F362" s="4">
        <v>43467</v>
      </c>
      <c r="G362" s="2" t="s">
        <v>26</v>
      </c>
    </row>
    <row r="363" spans="1:7" x14ac:dyDescent="0.35">
      <c r="A363" s="2">
        <v>362</v>
      </c>
      <c r="B363" t="s">
        <v>11</v>
      </c>
      <c r="C363" t="s">
        <v>21</v>
      </c>
      <c r="D363" t="s">
        <v>22</v>
      </c>
      <c r="E363" s="3">
        <v>350</v>
      </c>
      <c r="F363" s="4">
        <v>43952</v>
      </c>
      <c r="G363" s="2" t="s">
        <v>26</v>
      </c>
    </row>
    <row r="364" spans="1:7" x14ac:dyDescent="0.35">
      <c r="A364" s="2">
        <v>363</v>
      </c>
      <c r="B364" t="s">
        <v>14</v>
      </c>
      <c r="C364" t="s">
        <v>23</v>
      </c>
      <c r="D364" t="s">
        <v>22</v>
      </c>
      <c r="E364" s="3">
        <v>300</v>
      </c>
      <c r="F364" s="4">
        <v>43543</v>
      </c>
      <c r="G364" s="2" t="s">
        <v>26</v>
      </c>
    </row>
    <row r="365" spans="1:7" x14ac:dyDescent="0.35">
      <c r="A365" s="2">
        <v>364</v>
      </c>
      <c r="B365" t="s">
        <v>16</v>
      </c>
      <c r="C365" t="s">
        <v>24</v>
      </c>
      <c r="D365" t="s">
        <v>9</v>
      </c>
      <c r="E365" s="3">
        <v>120</v>
      </c>
      <c r="F365" s="4">
        <v>44097</v>
      </c>
      <c r="G365" s="2" t="s">
        <v>26</v>
      </c>
    </row>
    <row r="366" spans="1:7" x14ac:dyDescent="0.35">
      <c r="A366" s="2">
        <v>365</v>
      </c>
      <c r="B366" t="s">
        <v>18</v>
      </c>
      <c r="C366" t="s">
        <v>8</v>
      </c>
      <c r="D366" t="s">
        <v>9</v>
      </c>
      <c r="E366" s="3">
        <v>150</v>
      </c>
      <c r="F366" s="4">
        <v>43794</v>
      </c>
      <c r="G366" s="2" t="s">
        <v>10</v>
      </c>
    </row>
    <row r="367" spans="1:7" x14ac:dyDescent="0.35">
      <c r="A367" s="2">
        <v>366</v>
      </c>
      <c r="B367" t="s">
        <v>20</v>
      </c>
      <c r="C367" t="s">
        <v>12</v>
      </c>
      <c r="D367" t="s">
        <v>13</v>
      </c>
      <c r="E367" s="3">
        <v>8500</v>
      </c>
      <c r="F367" s="4">
        <v>44331</v>
      </c>
      <c r="G367" s="2" t="s">
        <v>10</v>
      </c>
    </row>
    <row r="368" spans="1:7" x14ac:dyDescent="0.35">
      <c r="A368" s="2">
        <v>367</v>
      </c>
      <c r="B368" t="s">
        <v>7</v>
      </c>
      <c r="C368" t="s">
        <v>12</v>
      </c>
      <c r="D368" t="s">
        <v>13</v>
      </c>
      <c r="E368" s="3">
        <v>1200</v>
      </c>
      <c r="F368" s="4">
        <v>44115</v>
      </c>
      <c r="G368" s="2" t="s">
        <v>10</v>
      </c>
    </row>
    <row r="369" spans="1:7" x14ac:dyDescent="0.35">
      <c r="A369" s="2">
        <v>368</v>
      </c>
      <c r="B369" t="s">
        <v>11</v>
      </c>
      <c r="C369" t="s">
        <v>15</v>
      </c>
      <c r="D369" t="s">
        <v>13</v>
      </c>
      <c r="E369" s="3">
        <v>300</v>
      </c>
      <c r="F369" s="4">
        <v>44222</v>
      </c>
      <c r="G369" s="2" t="s">
        <v>10</v>
      </c>
    </row>
    <row r="370" spans="1:7" x14ac:dyDescent="0.35">
      <c r="A370" s="2">
        <v>369</v>
      </c>
      <c r="B370" t="s">
        <v>14</v>
      </c>
      <c r="C370" t="s">
        <v>17</v>
      </c>
      <c r="D370" t="s">
        <v>13</v>
      </c>
      <c r="E370" s="3">
        <v>200</v>
      </c>
      <c r="F370" s="4">
        <v>43931</v>
      </c>
      <c r="G370" s="2" t="s">
        <v>10</v>
      </c>
    </row>
    <row r="371" spans="1:7" x14ac:dyDescent="0.35">
      <c r="A371" s="2">
        <v>370</v>
      </c>
      <c r="B371" t="s">
        <v>16</v>
      </c>
      <c r="C371" t="s">
        <v>21</v>
      </c>
      <c r="D371" t="s">
        <v>22</v>
      </c>
      <c r="E371" s="3">
        <v>150</v>
      </c>
      <c r="F371" s="4">
        <v>44529</v>
      </c>
      <c r="G371" s="2" t="s">
        <v>10</v>
      </c>
    </row>
    <row r="372" spans="1:7" x14ac:dyDescent="0.35">
      <c r="A372" s="2">
        <v>371</v>
      </c>
      <c r="B372" t="s">
        <v>18</v>
      </c>
      <c r="C372" t="s">
        <v>23</v>
      </c>
      <c r="D372" t="s">
        <v>22</v>
      </c>
      <c r="E372" s="3">
        <v>120</v>
      </c>
      <c r="F372" s="4">
        <v>44292</v>
      </c>
      <c r="G372" s="2" t="s">
        <v>10</v>
      </c>
    </row>
    <row r="373" spans="1:7" x14ac:dyDescent="0.35">
      <c r="A373" s="2">
        <v>372</v>
      </c>
      <c r="B373" t="s">
        <v>20</v>
      </c>
      <c r="C373" t="s">
        <v>24</v>
      </c>
      <c r="D373" t="s">
        <v>9</v>
      </c>
      <c r="E373" s="3">
        <v>300</v>
      </c>
      <c r="F373" s="4">
        <v>43611</v>
      </c>
      <c r="G373" s="2" t="s">
        <v>10</v>
      </c>
    </row>
    <row r="374" spans="1:7" x14ac:dyDescent="0.35">
      <c r="A374" s="2">
        <v>373</v>
      </c>
      <c r="B374" t="s">
        <v>7</v>
      </c>
      <c r="C374" t="s">
        <v>25</v>
      </c>
      <c r="D374" t="s">
        <v>9</v>
      </c>
      <c r="E374" s="3">
        <v>350</v>
      </c>
      <c r="F374" s="4">
        <v>43548</v>
      </c>
      <c r="G374" s="2" t="s">
        <v>10</v>
      </c>
    </row>
    <row r="375" spans="1:7" x14ac:dyDescent="0.35">
      <c r="A375" s="2">
        <v>374</v>
      </c>
      <c r="B375" t="s">
        <v>11</v>
      </c>
      <c r="C375" t="s">
        <v>24</v>
      </c>
      <c r="D375" t="s">
        <v>9</v>
      </c>
      <c r="E375" s="3">
        <v>8500</v>
      </c>
      <c r="F375" s="4">
        <v>43519</v>
      </c>
      <c r="G375" s="2" t="s">
        <v>10</v>
      </c>
    </row>
    <row r="376" spans="1:7" x14ac:dyDescent="0.35">
      <c r="A376" s="2">
        <v>375</v>
      </c>
      <c r="B376" t="s">
        <v>14</v>
      </c>
      <c r="C376" t="s">
        <v>25</v>
      </c>
      <c r="D376" t="s">
        <v>9</v>
      </c>
      <c r="E376" s="3">
        <v>1200</v>
      </c>
      <c r="F376" s="4">
        <v>44311</v>
      </c>
      <c r="G376" s="2" t="s">
        <v>10</v>
      </c>
    </row>
    <row r="377" spans="1:7" x14ac:dyDescent="0.35">
      <c r="A377" s="2">
        <v>376</v>
      </c>
      <c r="B377" t="s">
        <v>16</v>
      </c>
      <c r="C377" t="s">
        <v>27</v>
      </c>
      <c r="D377" t="s">
        <v>22</v>
      </c>
      <c r="E377" s="3">
        <v>300</v>
      </c>
      <c r="F377" s="4">
        <v>44034</v>
      </c>
      <c r="G377" s="2" t="s">
        <v>10</v>
      </c>
    </row>
    <row r="378" spans="1:7" x14ac:dyDescent="0.35">
      <c r="A378" s="2">
        <v>377</v>
      </c>
      <c r="B378" t="s">
        <v>18</v>
      </c>
      <c r="C378" t="s">
        <v>19</v>
      </c>
      <c r="D378" t="s">
        <v>9</v>
      </c>
      <c r="E378" s="3">
        <v>200</v>
      </c>
      <c r="F378" s="4">
        <v>44553</v>
      </c>
      <c r="G378" s="2" t="s">
        <v>26</v>
      </c>
    </row>
    <row r="379" spans="1:7" x14ac:dyDescent="0.35">
      <c r="A379" s="2">
        <v>378</v>
      </c>
      <c r="B379" t="s">
        <v>20</v>
      </c>
      <c r="C379" t="s">
        <v>8</v>
      </c>
      <c r="D379" t="s">
        <v>9</v>
      </c>
      <c r="E379" s="3">
        <v>150</v>
      </c>
      <c r="F379" s="4">
        <v>43533</v>
      </c>
      <c r="G379" s="2" t="s">
        <v>26</v>
      </c>
    </row>
    <row r="380" spans="1:7" x14ac:dyDescent="0.35">
      <c r="A380" s="2">
        <v>379</v>
      </c>
      <c r="B380" t="s">
        <v>7</v>
      </c>
      <c r="C380" t="s">
        <v>12</v>
      </c>
      <c r="D380" t="s">
        <v>13</v>
      </c>
      <c r="E380" s="3">
        <v>120</v>
      </c>
      <c r="F380" s="4">
        <v>44265</v>
      </c>
      <c r="G380" s="2" t="s">
        <v>26</v>
      </c>
    </row>
    <row r="381" spans="1:7" x14ac:dyDescent="0.35">
      <c r="A381" s="2">
        <v>380</v>
      </c>
      <c r="B381" t="s">
        <v>11</v>
      </c>
      <c r="C381" t="s">
        <v>15</v>
      </c>
      <c r="D381" t="s">
        <v>13</v>
      </c>
      <c r="E381" s="3">
        <v>300</v>
      </c>
      <c r="F381" s="4">
        <v>44136</v>
      </c>
      <c r="G381" s="2" t="s">
        <v>26</v>
      </c>
    </row>
    <row r="382" spans="1:7" x14ac:dyDescent="0.35">
      <c r="A382" s="2">
        <v>381</v>
      </c>
      <c r="B382" t="s">
        <v>14</v>
      </c>
      <c r="C382" t="s">
        <v>17</v>
      </c>
      <c r="D382" t="s">
        <v>13</v>
      </c>
      <c r="E382" s="3">
        <v>350</v>
      </c>
      <c r="F382" s="4">
        <v>43849</v>
      </c>
      <c r="G382" s="2" t="s">
        <v>26</v>
      </c>
    </row>
    <row r="383" spans="1:7" x14ac:dyDescent="0.35">
      <c r="A383" s="2">
        <v>382</v>
      </c>
      <c r="B383" t="s">
        <v>16</v>
      </c>
      <c r="C383" t="s">
        <v>21</v>
      </c>
      <c r="D383" t="s">
        <v>22</v>
      </c>
      <c r="E383" s="3">
        <v>300</v>
      </c>
      <c r="F383" s="4">
        <v>44164</v>
      </c>
      <c r="G383" s="2" t="s">
        <v>26</v>
      </c>
    </row>
    <row r="384" spans="1:7" x14ac:dyDescent="0.35">
      <c r="A384" s="2">
        <v>383</v>
      </c>
      <c r="B384" t="s">
        <v>18</v>
      </c>
      <c r="C384" t="s">
        <v>23</v>
      </c>
      <c r="D384" t="s">
        <v>22</v>
      </c>
      <c r="E384" s="3">
        <v>120</v>
      </c>
      <c r="F384" s="4">
        <v>44429</v>
      </c>
      <c r="G384" s="2" t="s">
        <v>26</v>
      </c>
    </row>
    <row r="385" spans="1:7" x14ac:dyDescent="0.35">
      <c r="A385" s="2">
        <v>384</v>
      </c>
      <c r="B385" t="s">
        <v>20</v>
      </c>
      <c r="C385" t="s">
        <v>24</v>
      </c>
      <c r="D385" t="s">
        <v>9</v>
      </c>
      <c r="E385" s="3">
        <v>150</v>
      </c>
      <c r="F385" s="4">
        <v>43786</v>
      </c>
      <c r="G385" s="2" t="s">
        <v>10</v>
      </c>
    </row>
    <row r="386" spans="1:7" x14ac:dyDescent="0.35">
      <c r="A386" s="2">
        <v>385</v>
      </c>
      <c r="B386" t="s">
        <v>7</v>
      </c>
      <c r="C386" t="s">
        <v>8</v>
      </c>
      <c r="D386" t="s">
        <v>9</v>
      </c>
      <c r="E386" s="3">
        <v>1200</v>
      </c>
      <c r="F386" s="4">
        <v>43625</v>
      </c>
      <c r="G386" s="2" t="s">
        <v>10</v>
      </c>
    </row>
    <row r="387" spans="1:7" x14ac:dyDescent="0.35">
      <c r="A387" s="2">
        <v>386</v>
      </c>
      <c r="B387" t="s">
        <v>11</v>
      </c>
      <c r="C387" t="s">
        <v>8</v>
      </c>
      <c r="D387" t="s">
        <v>9</v>
      </c>
      <c r="E387" s="3">
        <v>800</v>
      </c>
      <c r="F387" s="4">
        <v>43511</v>
      </c>
      <c r="G387" s="2" t="s">
        <v>10</v>
      </c>
    </row>
    <row r="388" spans="1:7" x14ac:dyDescent="0.35">
      <c r="A388" s="2">
        <v>387</v>
      </c>
      <c r="B388" t="s">
        <v>14</v>
      </c>
      <c r="C388" t="s">
        <v>12</v>
      </c>
      <c r="D388" t="s">
        <v>13</v>
      </c>
      <c r="E388" s="3">
        <v>750</v>
      </c>
      <c r="F388" s="4">
        <v>43495</v>
      </c>
      <c r="G388" s="2" t="s">
        <v>10</v>
      </c>
    </row>
    <row r="389" spans="1:7" x14ac:dyDescent="0.35">
      <c r="A389" s="2">
        <v>388</v>
      </c>
      <c r="B389" t="s">
        <v>16</v>
      </c>
      <c r="C389" t="s">
        <v>15</v>
      </c>
      <c r="D389" t="s">
        <v>13</v>
      </c>
      <c r="E389" s="3">
        <v>4500</v>
      </c>
      <c r="F389" s="4">
        <v>43842</v>
      </c>
      <c r="G389" s="2" t="s">
        <v>10</v>
      </c>
    </row>
    <row r="390" spans="1:7" x14ac:dyDescent="0.35">
      <c r="A390" s="2">
        <v>389</v>
      </c>
      <c r="B390" t="s">
        <v>18</v>
      </c>
      <c r="C390" t="s">
        <v>17</v>
      </c>
      <c r="D390" t="s">
        <v>13</v>
      </c>
      <c r="E390" s="3">
        <v>500</v>
      </c>
      <c r="F390" s="4">
        <v>44101</v>
      </c>
      <c r="G390" s="2" t="s">
        <v>10</v>
      </c>
    </row>
    <row r="391" spans="1:7" x14ac:dyDescent="0.35">
      <c r="A391" s="2">
        <v>390</v>
      </c>
      <c r="B391" t="s">
        <v>20</v>
      </c>
      <c r="C391" t="s">
        <v>19</v>
      </c>
      <c r="D391" t="s">
        <v>9</v>
      </c>
      <c r="E391" s="3">
        <v>750</v>
      </c>
      <c r="F391" s="4">
        <v>43984</v>
      </c>
      <c r="G391" s="2" t="s">
        <v>10</v>
      </c>
    </row>
    <row r="392" spans="1:7" x14ac:dyDescent="0.35">
      <c r="A392" s="2">
        <v>391</v>
      </c>
      <c r="B392" t="s">
        <v>7</v>
      </c>
      <c r="C392" t="s">
        <v>8</v>
      </c>
      <c r="D392" t="s">
        <v>9</v>
      </c>
      <c r="E392" s="3">
        <v>950</v>
      </c>
      <c r="F392" s="4">
        <v>43979</v>
      </c>
      <c r="G392" s="2" t="s">
        <v>10</v>
      </c>
    </row>
    <row r="393" spans="1:7" x14ac:dyDescent="0.35">
      <c r="A393" s="2">
        <v>392</v>
      </c>
      <c r="B393" t="s">
        <v>11</v>
      </c>
      <c r="C393" t="s">
        <v>12</v>
      </c>
      <c r="D393" t="s">
        <v>13</v>
      </c>
      <c r="E393" s="3">
        <v>680</v>
      </c>
      <c r="F393" s="4">
        <v>44142</v>
      </c>
      <c r="G393" s="2" t="s">
        <v>26</v>
      </c>
    </row>
    <row r="394" spans="1:7" x14ac:dyDescent="0.35">
      <c r="A394" s="2">
        <v>393</v>
      </c>
      <c r="B394" t="s">
        <v>14</v>
      </c>
      <c r="C394" t="s">
        <v>12</v>
      </c>
      <c r="D394" t="s">
        <v>13</v>
      </c>
      <c r="E394" s="3">
        <v>950</v>
      </c>
      <c r="F394" s="4">
        <v>44418</v>
      </c>
      <c r="G394" s="2" t="s">
        <v>26</v>
      </c>
    </row>
    <row r="395" spans="1:7" x14ac:dyDescent="0.35">
      <c r="A395" s="2">
        <v>394</v>
      </c>
      <c r="B395" t="s">
        <v>20</v>
      </c>
      <c r="C395" t="s">
        <v>15</v>
      </c>
      <c r="D395" t="s">
        <v>13</v>
      </c>
      <c r="E395" s="3">
        <v>1500</v>
      </c>
      <c r="F395" s="4">
        <v>43705</v>
      </c>
      <c r="G395" s="2" t="s">
        <v>26</v>
      </c>
    </row>
    <row r="396" spans="1:7" x14ac:dyDescent="0.35">
      <c r="A396" s="2">
        <v>395</v>
      </c>
      <c r="B396" t="s">
        <v>7</v>
      </c>
      <c r="C396" t="s">
        <v>17</v>
      </c>
      <c r="D396" t="s">
        <v>13</v>
      </c>
      <c r="E396" s="3">
        <v>5000</v>
      </c>
      <c r="F396" s="4">
        <v>43903</v>
      </c>
      <c r="G396" s="2" t="s">
        <v>10</v>
      </c>
    </row>
    <row r="397" spans="1:7" x14ac:dyDescent="0.35">
      <c r="A397" s="2">
        <v>396</v>
      </c>
      <c r="B397" t="s">
        <v>11</v>
      </c>
      <c r="C397" t="s">
        <v>21</v>
      </c>
      <c r="D397" t="s">
        <v>22</v>
      </c>
      <c r="E397" s="3">
        <v>6500</v>
      </c>
      <c r="F397" s="4">
        <v>43853</v>
      </c>
      <c r="G397" s="2" t="s">
        <v>10</v>
      </c>
    </row>
    <row r="398" spans="1:7" x14ac:dyDescent="0.35">
      <c r="A398" s="2">
        <v>397</v>
      </c>
      <c r="B398" t="s">
        <v>14</v>
      </c>
      <c r="C398" t="s">
        <v>23</v>
      </c>
      <c r="D398" t="s">
        <v>22</v>
      </c>
      <c r="E398" s="3">
        <v>8500</v>
      </c>
      <c r="F398" s="4">
        <v>43648</v>
      </c>
      <c r="G398" s="2" t="s">
        <v>10</v>
      </c>
    </row>
    <row r="399" spans="1:7" x14ac:dyDescent="0.35">
      <c r="A399" s="2">
        <v>398</v>
      </c>
      <c r="B399" t="s">
        <v>16</v>
      </c>
      <c r="C399" t="s">
        <v>24</v>
      </c>
      <c r="D399" t="s">
        <v>9</v>
      </c>
      <c r="E399" s="3">
        <v>1200</v>
      </c>
      <c r="F399" s="4">
        <v>44214</v>
      </c>
      <c r="G399" s="2" t="s">
        <v>10</v>
      </c>
    </row>
    <row r="400" spans="1:7" x14ac:dyDescent="0.35">
      <c r="A400" s="2">
        <v>399</v>
      </c>
      <c r="B400" t="s">
        <v>18</v>
      </c>
      <c r="C400" t="s">
        <v>25</v>
      </c>
      <c r="D400" t="s">
        <v>9</v>
      </c>
      <c r="E400" s="3">
        <v>300</v>
      </c>
      <c r="F400" s="4">
        <v>43963</v>
      </c>
      <c r="G400" s="2" t="s">
        <v>10</v>
      </c>
    </row>
    <row r="401" spans="1:7" x14ac:dyDescent="0.35">
      <c r="A401" s="2">
        <v>400</v>
      </c>
      <c r="B401" t="s">
        <v>20</v>
      </c>
      <c r="C401" t="s">
        <v>24</v>
      </c>
      <c r="D401" t="s">
        <v>9</v>
      </c>
      <c r="E401" s="3">
        <v>200</v>
      </c>
      <c r="F401" s="4">
        <v>44380</v>
      </c>
      <c r="G401" s="2" t="s">
        <v>10</v>
      </c>
    </row>
    <row r="402" spans="1:7" x14ac:dyDescent="0.35">
      <c r="A402" s="2">
        <v>401</v>
      </c>
      <c r="B402" t="s">
        <v>7</v>
      </c>
      <c r="C402" t="s">
        <v>25</v>
      </c>
      <c r="D402" t="s">
        <v>9</v>
      </c>
      <c r="E402" s="3">
        <v>150</v>
      </c>
      <c r="F402" s="4">
        <v>43770</v>
      </c>
      <c r="G402" s="2" t="s">
        <v>10</v>
      </c>
    </row>
    <row r="403" spans="1:7" x14ac:dyDescent="0.35">
      <c r="A403" s="2">
        <v>402</v>
      </c>
      <c r="B403" t="s">
        <v>11</v>
      </c>
      <c r="C403" t="s">
        <v>27</v>
      </c>
      <c r="D403" t="s">
        <v>22</v>
      </c>
      <c r="E403" s="3">
        <v>120</v>
      </c>
      <c r="F403" s="4">
        <v>43520</v>
      </c>
      <c r="G403" s="2" t="s">
        <v>10</v>
      </c>
    </row>
    <row r="404" spans="1:7" x14ac:dyDescent="0.35">
      <c r="A404" s="2">
        <v>403</v>
      </c>
      <c r="B404" t="s">
        <v>14</v>
      </c>
      <c r="C404" t="s">
        <v>19</v>
      </c>
      <c r="D404" t="s">
        <v>9</v>
      </c>
      <c r="E404" s="3">
        <v>300</v>
      </c>
      <c r="F404" s="4">
        <v>44250</v>
      </c>
      <c r="G404" s="2" t="s">
        <v>10</v>
      </c>
    </row>
    <row r="405" spans="1:7" x14ac:dyDescent="0.35">
      <c r="A405" s="2">
        <v>404</v>
      </c>
      <c r="B405" t="s">
        <v>16</v>
      </c>
      <c r="C405" t="s">
        <v>8</v>
      </c>
      <c r="D405" t="s">
        <v>9</v>
      </c>
      <c r="E405" s="3">
        <v>350</v>
      </c>
      <c r="F405" s="4">
        <v>44178</v>
      </c>
      <c r="G405" s="2" t="s">
        <v>10</v>
      </c>
    </row>
    <row r="406" spans="1:7" x14ac:dyDescent="0.35">
      <c r="A406" s="2">
        <v>405</v>
      </c>
      <c r="B406" t="s">
        <v>18</v>
      </c>
      <c r="C406" t="s">
        <v>12</v>
      </c>
      <c r="D406" t="s">
        <v>13</v>
      </c>
      <c r="E406" s="3">
        <v>300</v>
      </c>
      <c r="F406" s="4">
        <v>43596</v>
      </c>
      <c r="G406" s="2" t="s">
        <v>10</v>
      </c>
    </row>
    <row r="407" spans="1:7" x14ac:dyDescent="0.35">
      <c r="A407" s="2">
        <v>406</v>
      </c>
      <c r="B407" t="s">
        <v>20</v>
      </c>
      <c r="C407" t="s">
        <v>15</v>
      </c>
      <c r="D407" t="s">
        <v>13</v>
      </c>
      <c r="E407" s="3">
        <v>120</v>
      </c>
      <c r="F407" s="4">
        <v>43868</v>
      </c>
      <c r="G407" s="2" t="s">
        <v>10</v>
      </c>
    </row>
    <row r="408" spans="1:7" x14ac:dyDescent="0.35">
      <c r="A408" s="2">
        <v>407</v>
      </c>
      <c r="B408" t="s">
        <v>7</v>
      </c>
      <c r="C408" t="s">
        <v>17</v>
      </c>
      <c r="D408" t="s">
        <v>13</v>
      </c>
      <c r="E408" s="3">
        <v>150</v>
      </c>
      <c r="F408" s="4">
        <v>44050</v>
      </c>
      <c r="G408" s="2" t="s">
        <v>10</v>
      </c>
    </row>
    <row r="409" spans="1:7" x14ac:dyDescent="0.35">
      <c r="A409" s="2">
        <v>408</v>
      </c>
      <c r="B409" t="s">
        <v>11</v>
      </c>
      <c r="C409" t="s">
        <v>21</v>
      </c>
      <c r="D409" t="s">
        <v>22</v>
      </c>
      <c r="E409" s="3">
        <v>8500</v>
      </c>
      <c r="F409" s="4">
        <v>43514</v>
      </c>
      <c r="G409" s="2" t="s">
        <v>10</v>
      </c>
    </row>
    <row r="410" spans="1:7" x14ac:dyDescent="0.35">
      <c r="A410" s="2">
        <v>409</v>
      </c>
      <c r="B410" t="s">
        <v>14</v>
      </c>
      <c r="C410" t="s">
        <v>23</v>
      </c>
      <c r="D410" t="s">
        <v>22</v>
      </c>
      <c r="E410" s="3">
        <v>1200</v>
      </c>
      <c r="F410" s="4">
        <v>44467</v>
      </c>
      <c r="G410" s="2" t="s">
        <v>26</v>
      </c>
    </row>
    <row r="411" spans="1:7" x14ac:dyDescent="0.35">
      <c r="A411" s="2">
        <v>410</v>
      </c>
      <c r="B411" t="s">
        <v>16</v>
      </c>
      <c r="C411" t="s">
        <v>24</v>
      </c>
      <c r="D411" t="s">
        <v>9</v>
      </c>
      <c r="E411" s="3">
        <v>300</v>
      </c>
      <c r="F411" s="4">
        <v>44408</v>
      </c>
      <c r="G411" s="2" t="s">
        <v>26</v>
      </c>
    </row>
    <row r="412" spans="1:7" x14ac:dyDescent="0.35">
      <c r="A412" s="2">
        <v>411</v>
      </c>
      <c r="B412" t="s">
        <v>18</v>
      </c>
      <c r="C412" t="s">
        <v>8</v>
      </c>
      <c r="D412" t="s">
        <v>9</v>
      </c>
      <c r="E412" s="3">
        <v>200</v>
      </c>
      <c r="F412" s="4">
        <v>44188</v>
      </c>
      <c r="G412" s="2" t="s">
        <v>26</v>
      </c>
    </row>
    <row r="413" spans="1:7" x14ac:dyDescent="0.35">
      <c r="A413" s="2">
        <v>412</v>
      </c>
      <c r="B413" t="s">
        <v>20</v>
      </c>
      <c r="C413" t="s">
        <v>12</v>
      </c>
      <c r="D413" t="s">
        <v>13</v>
      </c>
      <c r="E413" s="3">
        <v>150</v>
      </c>
      <c r="F413" s="4">
        <v>43808</v>
      </c>
      <c r="G413" s="2" t="s">
        <v>26</v>
      </c>
    </row>
    <row r="414" spans="1:7" x14ac:dyDescent="0.35">
      <c r="A414" s="2">
        <v>413</v>
      </c>
      <c r="B414" t="s">
        <v>7</v>
      </c>
      <c r="C414" t="s">
        <v>12</v>
      </c>
      <c r="D414" t="s">
        <v>13</v>
      </c>
      <c r="E414" s="3">
        <v>120</v>
      </c>
      <c r="F414" s="4">
        <v>44434</v>
      </c>
      <c r="G414" s="2" t="s">
        <v>26</v>
      </c>
    </row>
    <row r="415" spans="1:7" x14ac:dyDescent="0.35">
      <c r="A415" s="2">
        <v>414</v>
      </c>
      <c r="B415" t="s">
        <v>7</v>
      </c>
      <c r="C415" t="s">
        <v>15</v>
      </c>
      <c r="D415" t="s">
        <v>13</v>
      </c>
      <c r="E415" s="3">
        <v>300</v>
      </c>
      <c r="F415" s="4">
        <v>44337</v>
      </c>
      <c r="G415" s="2" t="s">
        <v>26</v>
      </c>
    </row>
    <row r="416" spans="1:7" x14ac:dyDescent="0.35">
      <c r="A416" s="2">
        <v>415</v>
      </c>
      <c r="B416" t="s">
        <v>11</v>
      </c>
      <c r="C416" t="s">
        <v>17</v>
      </c>
      <c r="D416" t="s">
        <v>13</v>
      </c>
      <c r="E416" s="3">
        <v>350</v>
      </c>
      <c r="F416" s="4">
        <v>44198</v>
      </c>
      <c r="G416" s="2" t="s">
        <v>26</v>
      </c>
    </row>
    <row r="417" spans="1:7" x14ac:dyDescent="0.35">
      <c r="A417" s="2">
        <v>416</v>
      </c>
      <c r="B417" t="s">
        <v>14</v>
      </c>
      <c r="C417" t="s">
        <v>21</v>
      </c>
      <c r="D417" t="s">
        <v>22</v>
      </c>
      <c r="E417" s="3">
        <v>300</v>
      </c>
      <c r="F417" s="4">
        <v>43666</v>
      </c>
      <c r="G417" s="2" t="s">
        <v>10</v>
      </c>
    </row>
    <row r="418" spans="1:7" x14ac:dyDescent="0.35">
      <c r="A418" s="2">
        <v>417</v>
      </c>
      <c r="B418" t="s">
        <v>16</v>
      </c>
      <c r="C418" t="s">
        <v>23</v>
      </c>
      <c r="D418" t="s">
        <v>22</v>
      </c>
      <c r="E418" s="3">
        <v>120</v>
      </c>
      <c r="F418" s="4">
        <v>43522</v>
      </c>
      <c r="G418" s="2" t="s">
        <v>10</v>
      </c>
    </row>
    <row r="419" spans="1:7" x14ac:dyDescent="0.35">
      <c r="A419" s="2">
        <v>418</v>
      </c>
      <c r="B419" t="s">
        <v>18</v>
      </c>
      <c r="C419" t="s">
        <v>24</v>
      </c>
      <c r="D419" t="s">
        <v>9</v>
      </c>
      <c r="E419" s="3">
        <v>150</v>
      </c>
      <c r="F419" s="4">
        <v>44242</v>
      </c>
      <c r="G419" s="2" t="s">
        <v>10</v>
      </c>
    </row>
    <row r="420" spans="1:7" x14ac:dyDescent="0.35">
      <c r="A420" s="2">
        <v>419</v>
      </c>
      <c r="B420" t="s">
        <v>20</v>
      </c>
      <c r="C420" t="s">
        <v>25</v>
      </c>
      <c r="D420" t="s">
        <v>9</v>
      </c>
      <c r="E420" s="3">
        <v>1200</v>
      </c>
      <c r="F420" s="4">
        <v>44155</v>
      </c>
      <c r="G420" s="2" t="s">
        <v>10</v>
      </c>
    </row>
    <row r="421" spans="1:7" x14ac:dyDescent="0.35">
      <c r="A421" s="2">
        <v>420</v>
      </c>
      <c r="B421" t="s">
        <v>7</v>
      </c>
      <c r="C421" t="s">
        <v>24</v>
      </c>
      <c r="D421" t="s">
        <v>9</v>
      </c>
      <c r="E421" s="3">
        <v>800</v>
      </c>
      <c r="F421" s="4">
        <v>44534</v>
      </c>
      <c r="G421" s="2" t="s">
        <v>10</v>
      </c>
    </row>
    <row r="422" spans="1:7" x14ac:dyDescent="0.35">
      <c r="A422" s="2">
        <v>421</v>
      </c>
      <c r="B422" t="s">
        <v>11</v>
      </c>
      <c r="C422" t="s">
        <v>25</v>
      </c>
      <c r="D422" t="s">
        <v>9</v>
      </c>
      <c r="E422" s="3">
        <v>750</v>
      </c>
      <c r="F422" s="4">
        <v>43495</v>
      </c>
      <c r="G422" s="2" t="s">
        <v>10</v>
      </c>
    </row>
    <row r="423" spans="1:7" x14ac:dyDescent="0.35">
      <c r="A423" s="2">
        <v>422</v>
      </c>
      <c r="B423" t="s">
        <v>14</v>
      </c>
      <c r="C423" t="s">
        <v>27</v>
      </c>
      <c r="D423" t="s">
        <v>22</v>
      </c>
      <c r="E423" s="3">
        <v>4500</v>
      </c>
      <c r="F423" s="4">
        <v>44211</v>
      </c>
      <c r="G423" s="2" t="s">
        <v>10</v>
      </c>
    </row>
    <row r="424" spans="1:7" x14ac:dyDescent="0.35">
      <c r="A424" s="2">
        <v>423</v>
      </c>
      <c r="B424" t="s">
        <v>16</v>
      </c>
      <c r="C424" t="s">
        <v>19</v>
      </c>
      <c r="D424" t="s">
        <v>9</v>
      </c>
      <c r="E424" s="3">
        <v>500</v>
      </c>
      <c r="F424" s="4">
        <v>44208</v>
      </c>
      <c r="G424" s="2" t="s">
        <v>10</v>
      </c>
    </row>
    <row r="425" spans="1:7" x14ac:dyDescent="0.35">
      <c r="A425" s="2">
        <v>424</v>
      </c>
      <c r="B425" t="s">
        <v>18</v>
      </c>
      <c r="C425" t="s">
        <v>8</v>
      </c>
      <c r="D425" t="s">
        <v>9</v>
      </c>
      <c r="E425" s="3">
        <v>750</v>
      </c>
      <c r="F425" s="4">
        <v>43644</v>
      </c>
      <c r="G425" s="2" t="s">
        <v>10</v>
      </c>
    </row>
    <row r="426" spans="1:7" x14ac:dyDescent="0.35">
      <c r="A426" s="2">
        <v>425</v>
      </c>
      <c r="B426" t="s">
        <v>20</v>
      </c>
      <c r="C426" t="s">
        <v>12</v>
      </c>
      <c r="D426" t="s">
        <v>13</v>
      </c>
      <c r="E426" s="3">
        <v>950</v>
      </c>
      <c r="F426" s="4">
        <v>43847</v>
      </c>
      <c r="G426" s="2" t="s">
        <v>10</v>
      </c>
    </row>
    <row r="427" spans="1:7" x14ac:dyDescent="0.35">
      <c r="A427" s="2">
        <v>426</v>
      </c>
      <c r="B427" t="s">
        <v>7</v>
      </c>
      <c r="C427" t="s">
        <v>15</v>
      </c>
      <c r="D427" t="s">
        <v>13</v>
      </c>
      <c r="E427" s="3">
        <v>680</v>
      </c>
      <c r="F427" s="4">
        <v>44218</v>
      </c>
      <c r="G427" s="2" t="s">
        <v>10</v>
      </c>
    </row>
    <row r="428" spans="1:7" x14ac:dyDescent="0.35">
      <c r="A428" s="2">
        <v>427</v>
      </c>
      <c r="B428" t="s">
        <v>11</v>
      </c>
      <c r="C428" t="s">
        <v>17</v>
      </c>
      <c r="D428" t="s">
        <v>13</v>
      </c>
      <c r="E428" s="3">
        <v>950</v>
      </c>
      <c r="F428" s="4">
        <v>43966</v>
      </c>
      <c r="G428" s="2" t="s">
        <v>10</v>
      </c>
    </row>
    <row r="429" spans="1:7" x14ac:dyDescent="0.35">
      <c r="A429" s="2">
        <v>428</v>
      </c>
      <c r="B429" t="s">
        <v>14</v>
      </c>
      <c r="C429" t="s">
        <v>21</v>
      </c>
      <c r="D429" t="s">
        <v>22</v>
      </c>
      <c r="E429" s="3">
        <v>1500</v>
      </c>
      <c r="F429" s="4">
        <v>43801</v>
      </c>
      <c r="G429" s="2" t="s">
        <v>10</v>
      </c>
    </row>
    <row r="430" spans="1:7" x14ac:dyDescent="0.35">
      <c r="A430" s="2">
        <v>429</v>
      </c>
      <c r="B430" t="s">
        <v>20</v>
      </c>
      <c r="C430" t="s">
        <v>23</v>
      </c>
      <c r="D430" t="s">
        <v>22</v>
      </c>
      <c r="E430" s="3">
        <v>5000</v>
      </c>
      <c r="F430" s="4">
        <v>43934</v>
      </c>
      <c r="G430" s="2" t="s">
        <v>10</v>
      </c>
    </row>
    <row r="431" spans="1:7" x14ac:dyDescent="0.35">
      <c r="A431" s="2">
        <v>430</v>
      </c>
      <c r="B431" t="s">
        <v>7</v>
      </c>
      <c r="C431" t="s">
        <v>24</v>
      </c>
      <c r="D431" t="s">
        <v>9</v>
      </c>
      <c r="E431" s="3">
        <v>6500</v>
      </c>
      <c r="F431" s="4">
        <v>44123</v>
      </c>
      <c r="G431" s="2" t="s">
        <v>10</v>
      </c>
    </row>
    <row r="432" spans="1:7" x14ac:dyDescent="0.35">
      <c r="A432" s="2">
        <v>431</v>
      </c>
      <c r="B432" t="s">
        <v>11</v>
      </c>
      <c r="C432" t="s">
        <v>8</v>
      </c>
      <c r="D432" t="s">
        <v>9</v>
      </c>
      <c r="E432" s="3">
        <v>1200</v>
      </c>
      <c r="F432" s="4">
        <v>43940</v>
      </c>
      <c r="G432" s="2" t="s">
        <v>10</v>
      </c>
    </row>
    <row r="433" spans="1:7" x14ac:dyDescent="0.35">
      <c r="A433" s="2">
        <v>432</v>
      </c>
      <c r="B433" t="s">
        <v>14</v>
      </c>
      <c r="C433" t="s">
        <v>12</v>
      </c>
      <c r="D433" t="s">
        <v>13</v>
      </c>
      <c r="E433" s="3">
        <v>800</v>
      </c>
      <c r="F433" s="4">
        <v>43722</v>
      </c>
      <c r="G433" s="2" t="s">
        <v>10</v>
      </c>
    </row>
    <row r="434" spans="1:7" x14ac:dyDescent="0.35">
      <c r="A434" s="2">
        <v>433</v>
      </c>
      <c r="B434" t="s">
        <v>16</v>
      </c>
      <c r="C434" t="s">
        <v>15</v>
      </c>
      <c r="D434" t="s">
        <v>13</v>
      </c>
      <c r="E434" s="3">
        <v>750</v>
      </c>
      <c r="F434" s="4">
        <v>44340</v>
      </c>
      <c r="G434" s="2" t="s">
        <v>10</v>
      </c>
    </row>
    <row r="435" spans="1:7" x14ac:dyDescent="0.35">
      <c r="A435" s="2">
        <v>434</v>
      </c>
      <c r="B435" t="s">
        <v>18</v>
      </c>
      <c r="C435" t="s">
        <v>17</v>
      </c>
      <c r="D435" t="s">
        <v>13</v>
      </c>
      <c r="E435" s="3">
        <v>4500</v>
      </c>
      <c r="F435" s="4">
        <v>43598</v>
      </c>
      <c r="G435" s="2" t="s">
        <v>10</v>
      </c>
    </row>
    <row r="436" spans="1:7" x14ac:dyDescent="0.35">
      <c r="A436" s="2">
        <v>435</v>
      </c>
      <c r="B436" t="s">
        <v>20</v>
      </c>
      <c r="C436" t="s">
        <v>19</v>
      </c>
      <c r="D436" t="s">
        <v>9</v>
      </c>
      <c r="E436" s="3">
        <v>500</v>
      </c>
      <c r="F436" s="4">
        <v>44526</v>
      </c>
      <c r="G436" s="2" t="s">
        <v>10</v>
      </c>
    </row>
    <row r="437" spans="1:7" x14ac:dyDescent="0.35">
      <c r="A437" s="2">
        <v>436</v>
      </c>
      <c r="B437" t="s">
        <v>7</v>
      </c>
      <c r="C437" t="s">
        <v>8</v>
      </c>
      <c r="D437" t="s">
        <v>9</v>
      </c>
      <c r="E437" s="3">
        <v>750</v>
      </c>
      <c r="F437" s="4">
        <v>44538</v>
      </c>
      <c r="G437" s="2" t="s">
        <v>10</v>
      </c>
    </row>
    <row r="438" spans="1:7" x14ac:dyDescent="0.35">
      <c r="A438" s="2">
        <v>437</v>
      </c>
      <c r="B438" t="s">
        <v>11</v>
      </c>
      <c r="C438" t="s">
        <v>12</v>
      </c>
      <c r="D438" t="s">
        <v>13</v>
      </c>
      <c r="E438" s="3">
        <v>950</v>
      </c>
      <c r="F438" s="4">
        <v>43635</v>
      </c>
      <c r="G438" s="2" t="s">
        <v>26</v>
      </c>
    </row>
    <row r="439" spans="1:7" x14ac:dyDescent="0.35">
      <c r="A439" s="2">
        <v>438</v>
      </c>
      <c r="B439" t="s">
        <v>14</v>
      </c>
      <c r="C439" t="s">
        <v>12</v>
      </c>
      <c r="D439" t="s">
        <v>13</v>
      </c>
      <c r="E439" s="3">
        <v>680</v>
      </c>
      <c r="F439" s="4">
        <v>44287</v>
      </c>
      <c r="G439" s="2" t="s">
        <v>26</v>
      </c>
    </row>
    <row r="440" spans="1:7" x14ac:dyDescent="0.35">
      <c r="A440" s="2">
        <v>439</v>
      </c>
      <c r="B440" t="s">
        <v>16</v>
      </c>
      <c r="C440" t="s">
        <v>15</v>
      </c>
      <c r="D440" t="s">
        <v>13</v>
      </c>
      <c r="E440" s="3">
        <v>950</v>
      </c>
      <c r="F440" s="4">
        <v>44543</v>
      </c>
      <c r="G440" s="2" t="s">
        <v>26</v>
      </c>
    </row>
    <row r="441" spans="1:7" x14ac:dyDescent="0.35">
      <c r="A441" s="2">
        <v>440</v>
      </c>
      <c r="B441" t="s">
        <v>11</v>
      </c>
      <c r="C441" t="s">
        <v>17</v>
      </c>
      <c r="D441" t="s">
        <v>13</v>
      </c>
      <c r="E441" s="3">
        <v>1500</v>
      </c>
      <c r="F441" s="4">
        <v>44081</v>
      </c>
      <c r="G441" s="2" t="s">
        <v>26</v>
      </c>
    </row>
    <row r="442" spans="1:7" x14ac:dyDescent="0.35">
      <c r="A442" s="2">
        <v>441</v>
      </c>
      <c r="B442" t="s">
        <v>14</v>
      </c>
      <c r="C442" t="s">
        <v>21</v>
      </c>
      <c r="D442" t="s">
        <v>22</v>
      </c>
      <c r="E442" s="3">
        <v>5000</v>
      </c>
      <c r="F442" s="4">
        <v>43977</v>
      </c>
      <c r="G442" s="2" t="s">
        <v>26</v>
      </c>
    </row>
    <row r="443" spans="1:7" x14ac:dyDescent="0.35">
      <c r="A443" s="2">
        <v>442</v>
      </c>
      <c r="B443" t="s">
        <v>16</v>
      </c>
      <c r="C443" t="s">
        <v>23</v>
      </c>
      <c r="D443" t="s">
        <v>22</v>
      </c>
      <c r="E443" s="3">
        <v>6500</v>
      </c>
      <c r="F443" s="4">
        <v>43570</v>
      </c>
      <c r="G443" s="2" t="s">
        <v>26</v>
      </c>
    </row>
    <row r="444" spans="1:7" x14ac:dyDescent="0.35">
      <c r="A444" s="2">
        <v>443</v>
      </c>
      <c r="B444" t="s">
        <v>18</v>
      </c>
      <c r="C444" t="s">
        <v>24</v>
      </c>
      <c r="D444" t="s">
        <v>9</v>
      </c>
      <c r="E444" s="3">
        <v>8500</v>
      </c>
      <c r="F444" s="4">
        <v>44278</v>
      </c>
      <c r="G444" s="2" t="s">
        <v>26</v>
      </c>
    </row>
    <row r="445" spans="1:7" x14ac:dyDescent="0.35">
      <c r="A445" s="2">
        <v>444</v>
      </c>
      <c r="B445" t="s">
        <v>20</v>
      </c>
      <c r="C445" t="s">
        <v>25</v>
      </c>
      <c r="D445" t="s">
        <v>9</v>
      </c>
      <c r="E445" s="3">
        <v>1200</v>
      </c>
      <c r="F445" s="4">
        <v>44195</v>
      </c>
      <c r="G445" s="2" t="s">
        <v>10</v>
      </c>
    </row>
    <row r="446" spans="1:7" x14ac:dyDescent="0.35">
      <c r="A446" s="2">
        <v>445</v>
      </c>
      <c r="B446" t="s">
        <v>7</v>
      </c>
      <c r="C446" t="s">
        <v>24</v>
      </c>
      <c r="D446" t="s">
        <v>9</v>
      </c>
      <c r="E446" s="3">
        <v>300</v>
      </c>
      <c r="F446" s="4">
        <v>43644</v>
      </c>
      <c r="G446" s="2" t="s">
        <v>10</v>
      </c>
    </row>
    <row r="447" spans="1:7" x14ac:dyDescent="0.35">
      <c r="A447" s="2">
        <v>446</v>
      </c>
      <c r="B447" t="s">
        <v>11</v>
      </c>
      <c r="C447" t="s">
        <v>25</v>
      </c>
      <c r="D447" t="s">
        <v>9</v>
      </c>
      <c r="E447" s="3">
        <v>200</v>
      </c>
      <c r="F447" s="4">
        <v>44044</v>
      </c>
      <c r="G447" s="2" t="s">
        <v>10</v>
      </c>
    </row>
    <row r="448" spans="1:7" x14ac:dyDescent="0.35">
      <c r="A448" s="2">
        <v>447</v>
      </c>
      <c r="B448" t="s">
        <v>14</v>
      </c>
      <c r="C448" t="s">
        <v>27</v>
      </c>
      <c r="D448" t="s">
        <v>22</v>
      </c>
      <c r="E448" s="3">
        <v>150</v>
      </c>
      <c r="F448" s="4">
        <v>44086</v>
      </c>
      <c r="G448" s="2" t="s">
        <v>10</v>
      </c>
    </row>
    <row r="449" spans="1:7" x14ac:dyDescent="0.35">
      <c r="A449" s="2">
        <v>448</v>
      </c>
      <c r="B449" t="s">
        <v>20</v>
      </c>
      <c r="C449" t="s">
        <v>19</v>
      </c>
      <c r="D449" t="s">
        <v>9</v>
      </c>
      <c r="E449" s="3">
        <v>120</v>
      </c>
      <c r="F449" s="4">
        <v>44378</v>
      </c>
      <c r="G449" s="2" t="s">
        <v>10</v>
      </c>
    </row>
    <row r="450" spans="1:7" x14ac:dyDescent="0.35">
      <c r="A450" s="2">
        <v>449</v>
      </c>
      <c r="B450" t="s">
        <v>7</v>
      </c>
      <c r="C450" t="s">
        <v>8</v>
      </c>
      <c r="D450" t="s">
        <v>9</v>
      </c>
      <c r="E450" s="3">
        <v>300</v>
      </c>
      <c r="F450" s="4">
        <v>44040</v>
      </c>
      <c r="G450" s="2" t="s">
        <v>10</v>
      </c>
    </row>
    <row r="451" spans="1:7" x14ac:dyDescent="0.35">
      <c r="A451" s="2">
        <v>450</v>
      </c>
      <c r="B451" t="s">
        <v>11</v>
      </c>
      <c r="C451" t="s">
        <v>12</v>
      </c>
      <c r="D451" t="s">
        <v>13</v>
      </c>
      <c r="E451" s="3">
        <v>350</v>
      </c>
      <c r="F451" s="4">
        <v>44044</v>
      </c>
      <c r="G451" s="2" t="s">
        <v>10</v>
      </c>
    </row>
    <row r="452" spans="1:7" x14ac:dyDescent="0.35">
      <c r="A452" s="2">
        <v>451</v>
      </c>
      <c r="B452" t="s">
        <v>14</v>
      </c>
      <c r="C452" t="s">
        <v>15</v>
      </c>
      <c r="D452" t="s">
        <v>13</v>
      </c>
      <c r="E452" s="3">
        <v>300</v>
      </c>
      <c r="F452" s="4">
        <v>44450</v>
      </c>
      <c r="G452" s="2" t="s">
        <v>26</v>
      </c>
    </row>
    <row r="453" spans="1:7" x14ac:dyDescent="0.35">
      <c r="A453" s="2">
        <v>452</v>
      </c>
      <c r="B453" t="s">
        <v>16</v>
      </c>
      <c r="C453" t="s">
        <v>17</v>
      </c>
      <c r="D453" t="s">
        <v>13</v>
      </c>
      <c r="E453" s="3">
        <v>120</v>
      </c>
      <c r="F453" s="4">
        <v>43965</v>
      </c>
      <c r="G453" s="2" t="s">
        <v>26</v>
      </c>
    </row>
    <row r="454" spans="1:7" x14ac:dyDescent="0.35">
      <c r="A454" s="2">
        <v>453</v>
      </c>
      <c r="B454" t="s">
        <v>18</v>
      </c>
      <c r="C454" t="s">
        <v>21</v>
      </c>
      <c r="D454" t="s">
        <v>22</v>
      </c>
      <c r="E454" s="3">
        <v>150</v>
      </c>
      <c r="F454" s="4">
        <v>43865</v>
      </c>
      <c r="G454" s="2" t="s">
        <v>26</v>
      </c>
    </row>
    <row r="455" spans="1:7" x14ac:dyDescent="0.35">
      <c r="A455" s="2">
        <v>454</v>
      </c>
      <c r="B455" t="s">
        <v>20</v>
      </c>
      <c r="C455" t="s">
        <v>23</v>
      </c>
      <c r="D455" t="s">
        <v>22</v>
      </c>
      <c r="E455" s="3">
        <v>1200</v>
      </c>
      <c r="F455" s="4">
        <v>44421</v>
      </c>
      <c r="G455" s="2" t="s">
        <v>26</v>
      </c>
    </row>
    <row r="456" spans="1:7" x14ac:dyDescent="0.35">
      <c r="A456" s="2">
        <v>455</v>
      </c>
      <c r="B456" t="s">
        <v>7</v>
      </c>
      <c r="C456" t="s">
        <v>24</v>
      </c>
      <c r="D456" t="s">
        <v>9</v>
      </c>
      <c r="E456" s="3">
        <v>800</v>
      </c>
      <c r="F456" s="4">
        <v>43605</v>
      </c>
      <c r="G456" s="2" t="s">
        <v>26</v>
      </c>
    </row>
    <row r="457" spans="1:7" x14ac:dyDescent="0.35">
      <c r="A457" s="2">
        <v>456</v>
      </c>
      <c r="B457" t="s">
        <v>11</v>
      </c>
      <c r="C457" t="s">
        <v>8</v>
      </c>
      <c r="D457" t="s">
        <v>9</v>
      </c>
      <c r="E457" s="3">
        <v>750</v>
      </c>
      <c r="F457" s="4">
        <v>44275</v>
      </c>
      <c r="G457" s="2" t="s">
        <v>26</v>
      </c>
    </row>
    <row r="458" spans="1:7" x14ac:dyDescent="0.35">
      <c r="A458" s="2">
        <v>457</v>
      </c>
      <c r="B458" t="s">
        <v>14</v>
      </c>
      <c r="C458" t="s">
        <v>12</v>
      </c>
      <c r="D458" t="s">
        <v>13</v>
      </c>
      <c r="E458" s="3">
        <v>4500</v>
      </c>
      <c r="F458" s="4">
        <v>44298</v>
      </c>
      <c r="G458" s="2" t="s">
        <v>10</v>
      </c>
    </row>
    <row r="459" spans="1:7" x14ac:dyDescent="0.35">
      <c r="A459" s="2">
        <v>458</v>
      </c>
      <c r="B459" t="s">
        <v>16</v>
      </c>
      <c r="C459" t="s">
        <v>12</v>
      </c>
      <c r="D459" t="s">
        <v>13</v>
      </c>
      <c r="E459" s="3">
        <v>500</v>
      </c>
      <c r="F459" s="4">
        <v>43933</v>
      </c>
      <c r="G459" s="2" t="s">
        <v>10</v>
      </c>
    </row>
    <row r="460" spans="1:7" x14ac:dyDescent="0.35">
      <c r="A460" s="2">
        <v>459</v>
      </c>
      <c r="B460" t="s">
        <v>18</v>
      </c>
      <c r="C460" t="s">
        <v>15</v>
      </c>
      <c r="D460" t="s">
        <v>13</v>
      </c>
      <c r="E460" s="3">
        <v>750</v>
      </c>
      <c r="F460" s="4">
        <v>44388</v>
      </c>
      <c r="G460" s="2" t="s">
        <v>10</v>
      </c>
    </row>
    <row r="461" spans="1:7" x14ac:dyDescent="0.35">
      <c r="A461" s="2">
        <v>460</v>
      </c>
      <c r="B461" t="s">
        <v>20</v>
      </c>
      <c r="C461" t="s">
        <v>17</v>
      </c>
      <c r="D461" t="s">
        <v>13</v>
      </c>
      <c r="E461" s="3">
        <v>950</v>
      </c>
      <c r="F461" s="4">
        <v>43691</v>
      </c>
      <c r="G461" s="2" t="s">
        <v>10</v>
      </c>
    </row>
    <row r="462" spans="1:7" x14ac:dyDescent="0.35">
      <c r="A462" s="2">
        <v>461</v>
      </c>
      <c r="B462" t="s">
        <v>7</v>
      </c>
      <c r="C462" t="s">
        <v>21</v>
      </c>
      <c r="D462" t="s">
        <v>22</v>
      </c>
      <c r="E462" s="3">
        <v>680</v>
      </c>
      <c r="F462" s="4">
        <v>44448</v>
      </c>
      <c r="G462" s="2" t="s">
        <v>10</v>
      </c>
    </row>
    <row r="463" spans="1:7" x14ac:dyDescent="0.35">
      <c r="A463" s="2">
        <v>462</v>
      </c>
      <c r="B463" t="s">
        <v>11</v>
      </c>
      <c r="C463" t="s">
        <v>23</v>
      </c>
      <c r="D463" t="s">
        <v>22</v>
      </c>
      <c r="E463" s="3">
        <v>950</v>
      </c>
      <c r="F463" s="4">
        <v>43581</v>
      </c>
      <c r="G463" s="2" t="s">
        <v>10</v>
      </c>
    </row>
    <row r="464" spans="1:7" x14ac:dyDescent="0.35">
      <c r="A464" s="2">
        <v>463</v>
      </c>
      <c r="B464" t="s">
        <v>14</v>
      </c>
      <c r="C464" t="s">
        <v>24</v>
      </c>
      <c r="D464" t="s">
        <v>9</v>
      </c>
      <c r="E464" s="3">
        <v>1500</v>
      </c>
      <c r="F464" s="4">
        <v>44159</v>
      </c>
      <c r="G464" s="2" t="s">
        <v>10</v>
      </c>
    </row>
    <row r="465" spans="1:7" x14ac:dyDescent="0.35">
      <c r="A465" s="2">
        <v>464</v>
      </c>
      <c r="B465" t="s">
        <v>16</v>
      </c>
      <c r="C465" t="s">
        <v>25</v>
      </c>
      <c r="D465" t="s">
        <v>9</v>
      </c>
      <c r="E465" s="3">
        <v>5000</v>
      </c>
      <c r="F465" s="4">
        <v>43913</v>
      </c>
      <c r="G465" s="2" t="s">
        <v>10</v>
      </c>
    </row>
    <row r="466" spans="1:7" x14ac:dyDescent="0.35">
      <c r="A466" s="2">
        <v>465</v>
      </c>
      <c r="B466" t="s">
        <v>18</v>
      </c>
      <c r="C466" t="s">
        <v>24</v>
      </c>
      <c r="D466" t="s">
        <v>9</v>
      </c>
      <c r="E466" s="3">
        <v>6500</v>
      </c>
      <c r="F466" s="4">
        <v>44275</v>
      </c>
      <c r="G466" s="2" t="s">
        <v>10</v>
      </c>
    </row>
    <row r="467" spans="1:7" x14ac:dyDescent="0.35">
      <c r="A467" s="2">
        <v>466</v>
      </c>
      <c r="B467" t="s">
        <v>20</v>
      </c>
      <c r="C467" t="s">
        <v>25</v>
      </c>
      <c r="D467" t="s">
        <v>9</v>
      </c>
      <c r="E467" s="3">
        <v>8500</v>
      </c>
      <c r="F467" s="4">
        <v>43898</v>
      </c>
      <c r="G467" s="2" t="s">
        <v>10</v>
      </c>
    </row>
    <row r="468" spans="1:7" x14ac:dyDescent="0.35">
      <c r="A468" s="2">
        <v>467</v>
      </c>
      <c r="B468" t="s">
        <v>7</v>
      </c>
      <c r="C468" t="s">
        <v>27</v>
      </c>
      <c r="D468" t="s">
        <v>22</v>
      </c>
      <c r="E468" s="3">
        <v>1200</v>
      </c>
      <c r="F468" s="4">
        <v>43964</v>
      </c>
      <c r="G468" s="2" t="s">
        <v>10</v>
      </c>
    </row>
    <row r="469" spans="1:7" x14ac:dyDescent="0.35">
      <c r="A469" s="2">
        <v>468</v>
      </c>
      <c r="B469" t="s">
        <v>11</v>
      </c>
      <c r="C469" t="s">
        <v>19</v>
      </c>
      <c r="D469" t="s">
        <v>9</v>
      </c>
      <c r="E469" s="3">
        <v>300</v>
      </c>
      <c r="F469" s="4">
        <v>43675</v>
      </c>
      <c r="G469" s="2" t="s">
        <v>10</v>
      </c>
    </row>
    <row r="470" spans="1:7" x14ac:dyDescent="0.35">
      <c r="A470" s="2">
        <v>469</v>
      </c>
      <c r="B470" t="s">
        <v>14</v>
      </c>
      <c r="C470" t="s">
        <v>8</v>
      </c>
      <c r="D470" t="s">
        <v>9</v>
      </c>
      <c r="E470" s="3">
        <v>200</v>
      </c>
      <c r="F470" s="4">
        <v>43824</v>
      </c>
      <c r="G470" s="2" t="s">
        <v>10</v>
      </c>
    </row>
    <row r="471" spans="1:7" x14ac:dyDescent="0.35">
      <c r="A471" s="2">
        <v>470</v>
      </c>
      <c r="B471" t="s">
        <v>16</v>
      </c>
      <c r="C471" t="s">
        <v>12</v>
      </c>
      <c r="D471" t="s">
        <v>13</v>
      </c>
      <c r="E471" s="3">
        <v>150</v>
      </c>
      <c r="F471" s="4">
        <v>43956</v>
      </c>
      <c r="G471" s="2" t="s">
        <v>10</v>
      </c>
    </row>
    <row r="472" spans="1:7" x14ac:dyDescent="0.35">
      <c r="A472" s="2">
        <v>471</v>
      </c>
      <c r="B472" t="s">
        <v>18</v>
      </c>
      <c r="C472" t="s">
        <v>15</v>
      </c>
      <c r="D472" t="s">
        <v>13</v>
      </c>
      <c r="E472" s="3">
        <v>120</v>
      </c>
      <c r="F472" s="4">
        <v>43572</v>
      </c>
      <c r="G472" s="2" t="s">
        <v>10</v>
      </c>
    </row>
    <row r="473" spans="1:7" x14ac:dyDescent="0.35">
      <c r="A473" s="2">
        <v>472</v>
      </c>
      <c r="B473" t="s">
        <v>20</v>
      </c>
      <c r="C473" t="s">
        <v>17</v>
      </c>
      <c r="D473" t="s">
        <v>13</v>
      </c>
      <c r="E473" s="3">
        <v>300</v>
      </c>
      <c r="F473" s="4">
        <v>43543</v>
      </c>
      <c r="G473" s="2" t="s">
        <v>10</v>
      </c>
    </row>
    <row r="474" spans="1:7" x14ac:dyDescent="0.35">
      <c r="A474" s="2">
        <v>473</v>
      </c>
      <c r="B474" t="s">
        <v>7</v>
      </c>
      <c r="C474" t="s">
        <v>21</v>
      </c>
      <c r="D474" t="s">
        <v>22</v>
      </c>
      <c r="E474" s="3">
        <v>350</v>
      </c>
      <c r="F474" s="4">
        <v>44424</v>
      </c>
      <c r="G474" s="2" t="s">
        <v>10</v>
      </c>
    </row>
    <row r="475" spans="1:7" x14ac:dyDescent="0.35">
      <c r="A475" s="2">
        <v>474</v>
      </c>
      <c r="B475" t="s">
        <v>11</v>
      </c>
      <c r="C475" t="s">
        <v>23</v>
      </c>
      <c r="D475" t="s">
        <v>22</v>
      </c>
      <c r="E475" s="3">
        <v>300</v>
      </c>
      <c r="F475" s="4">
        <v>44408</v>
      </c>
      <c r="G475" s="2" t="s">
        <v>10</v>
      </c>
    </row>
    <row r="476" spans="1:7" x14ac:dyDescent="0.35">
      <c r="A476" s="2">
        <v>475</v>
      </c>
      <c r="B476" t="s">
        <v>14</v>
      </c>
      <c r="C476" t="s">
        <v>24</v>
      </c>
      <c r="D476" t="s">
        <v>9</v>
      </c>
      <c r="E476" s="3">
        <v>120</v>
      </c>
      <c r="F476" s="4">
        <v>43612</v>
      </c>
      <c r="G476" s="2" t="s">
        <v>10</v>
      </c>
    </row>
    <row r="477" spans="1:7" x14ac:dyDescent="0.35">
      <c r="A477" s="2">
        <v>476</v>
      </c>
      <c r="B477" t="s">
        <v>16</v>
      </c>
      <c r="C477" t="s">
        <v>8</v>
      </c>
      <c r="D477" t="s">
        <v>9</v>
      </c>
      <c r="E477" s="3">
        <v>150</v>
      </c>
      <c r="F477" s="4">
        <v>43691</v>
      </c>
      <c r="G477" s="2" t="s">
        <v>10</v>
      </c>
    </row>
    <row r="478" spans="1:7" x14ac:dyDescent="0.35">
      <c r="A478" s="2">
        <v>477</v>
      </c>
      <c r="B478" t="s">
        <v>18</v>
      </c>
      <c r="C478" t="s">
        <v>12</v>
      </c>
      <c r="D478" t="s">
        <v>13</v>
      </c>
      <c r="E478" s="3">
        <v>8500</v>
      </c>
      <c r="F478" s="4">
        <v>43641</v>
      </c>
      <c r="G478" s="2" t="s">
        <v>10</v>
      </c>
    </row>
    <row r="479" spans="1:7" x14ac:dyDescent="0.35">
      <c r="A479" s="2">
        <v>478</v>
      </c>
      <c r="B479" t="s">
        <v>20</v>
      </c>
      <c r="C479" t="s">
        <v>15</v>
      </c>
      <c r="D479" t="s">
        <v>13</v>
      </c>
      <c r="E479" s="3">
        <v>1200</v>
      </c>
      <c r="F479" s="4">
        <v>44131</v>
      </c>
      <c r="G479" s="2" t="s">
        <v>26</v>
      </c>
    </row>
    <row r="480" spans="1:7" x14ac:dyDescent="0.35">
      <c r="A480" s="2">
        <v>479</v>
      </c>
      <c r="B480" t="s">
        <v>7</v>
      </c>
      <c r="C480" t="s">
        <v>17</v>
      </c>
      <c r="D480" t="s">
        <v>13</v>
      </c>
      <c r="E480" s="3">
        <v>300</v>
      </c>
      <c r="F480" s="4">
        <v>44036</v>
      </c>
      <c r="G480" s="2" t="s">
        <v>26</v>
      </c>
    </row>
    <row r="481" spans="1:7" x14ac:dyDescent="0.35">
      <c r="A481" s="2">
        <v>480</v>
      </c>
      <c r="B481" t="s">
        <v>11</v>
      </c>
      <c r="C481" t="s">
        <v>19</v>
      </c>
      <c r="D481" t="s">
        <v>9</v>
      </c>
      <c r="E481" s="3">
        <v>200</v>
      </c>
      <c r="F481" s="4">
        <v>43931</v>
      </c>
      <c r="G481" s="2" t="s">
        <v>26</v>
      </c>
    </row>
    <row r="482" spans="1:7" x14ac:dyDescent="0.35">
      <c r="A482" s="2">
        <v>481</v>
      </c>
      <c r="B482" t="s">
        <v>14</v>
      </c>
      <c r="C482" t="s">
        <v>8</v>
      </c>
      <c r="D482" t="s">
        <v>9</v>
      </c>
      <c r="E482" s="3">
        <v>150</v>
      </c>
      <c r="F482" s="4">
        <v>44012</v>
      </c>
      <c r="G482" s="2" t="s">
        <v>26</v>
      </c>
    </row>
    <row r="483" spans="1:7" x14ac:dyDescent="0.35">
      <c r="A483" s="2">
        <v>482</v>
      </c>
      <c r="B483" t="s">
        <v>20</v>
      </c>
      <c r="C483" t="s">
        <v>12</v>
      </c>
      <c r="D483" t="s">
        <v>13</v>
      </c>
      <c r="E483" s="3">
        <v>120</v>
      </c>
      <c r="F483" s="4">
        <v>43654</v>
      </c>
      <c r="G483" s="2" t="s">
        <v>26</v>
      </c>
    </row>
    <row r="484" spans="1:7" x14ac:dyDescent="0.35">
      <c r="A484" s="2">
        <v>483</v>
      </c>
      <c r="B484" t="s">
        <v>7</v>
      </c>
      <c r="C484" t="s">
        <v>12</v>
      </c>
      <c r="D484" t="s">
        <v>13</v>
      </c>
      <c r="E484" s="3">
        <v>300</v>
      </c>
      <c r="F484" s="4">
        <v>43599</v>
      </c>
      <c r="G484" s="2" t="s">
        <v>26</v>
      </c>
    </row>
    <row r="485" spans="1:7" x14ac:dyDescent="0.35">
      <c r="A485" s="2">
        <v>484</v>
      </c>
      <c r="B485" t="s">
        <v>11</v>
      </c>
      <c r="C485" t="s">
        <v>15</v>
      </c>
      <c r="D485" t="s">
        <v>13</v>
      </c>
      <c r="E485" s="3">
        <v>350</v>
      </c>
      <c r="F485" s="4">
        <v>44173</v>
      </c>
      <c r="G485" s="2" t="s">
        <v>26</v>
      </c>
    </row>
    <row r="486" spans="1:7" x14ac:dyDescent="0.35">
      <c r="A486" s="2">
        <v>485</v>
      </c>
      <c r="B486" t="s">
        <v>14</v>
      </c>
      <c r="C486" t="s">
        <v>17</v>
      </c>
      <c r="D486" t="s">
        <v>13</v>
      </c>
      <c r="E486" s="3">
        <v>300</v>
      </c>
      <c r="F486" s="4">
        <v>43510</v>
      </c>
      <c r="G486" s="2" t="s">
        <v>10</v>
      </c>
    </row>
    <row r="487" spans="1:7" x14ac:dyDescent="0.35">
      <c r="A487" s="2">
        <v>486</v>
      </c>
      <c r="B487" t="s">
        <v>16</v>
      </c>
      <c r="C487" t="s">
        <v>21</v>
      </c>
      <c r="D487" t="s">
        <v>22</v>
      </c>
      <c r="E487" s="3">
        <v>120</v>
      </c>
      <c r="F487" s="4">
        <v>44483</v>
      </c>
      <c r="G487" s="2" t="s">
        <v>10</v>
      </c>
    </row>
    <row r="488" spans="1:7" x14ac:dyDescent="0.35">
      <c r="A488" s="2">
        <v>487</v>
      </c>
      <c r="B488" t="s">
        <v>18</v>
      </c>
      <c r="C488" t="s">
        <v>23</v>
      </c>
      <c r="D488" t="s">
        <v>22</v>
      </c>
      <c r="E488" s="3">
        <v>150</v>
      </c>
      <c r="F488" s="4">
        <v>43785</v>
      </c>
      <c r="G488" s="2" t="s">
        <v>10</v>
      </c>
    </row>
    <row r="489" spans="1:7" x14ac:dyDescent="0.35">
      <c r="A489" s="2">
        <v>488</v>
      </c>
      <c r="B489" t="s">
        <v>20</v>
      </c>
      <c r="C489" t="s">
        <v>24</v>
      </c>
      <c r="D489" t="s">
        <v>9</v>
      </c>
      <c r="E489" s="3">
        <v>1200</v>
      </c>
      <c r="F489" s="4">
        <v>44345</v>
      </c>
      <c r="G489" s="2" t="s">
        <v>10</v>
      </c>
    </row>
    <row r="490" spans="1:7" x14ac:dyDescent="0.35">
      <c r="A490" s="2">
        <v>489</v>
      </c>
      <c r="B490" t="s">
        <v>7</v>
      </c>
      <c r="C490" t="s">
        <v>25</v>
      </c>
      <c r="D490" t="s">
        <v>9</v>
      </c>
      <c r="E490" s="3">
        <v>800</v>
      </c>
      <c r="F490" s="4">
        <v>43669</v>
      </c>
      <c r="G490" s="2" t="s">
        <v>10</v>
      </c>
    </row>
    <row r="491" spans="1:7" x14ac:dyDescent="0.35">
      <c r="A491" s="2">
        <v>490</v>
      </c>
      <c r="B491" t="s">
        <v>11</v>
      </c>
      <c r="C491" t="s">
        <v>24</v>
      </c>
      <c r="D491" t="s">
        <v>9</v>
      </c>
      <c r="E491" s="3">
        <v>750</v>
      </c>
      <c r="F491" s="4">
        <v>43491</v>
      </c>
      <c r="G491" s="2" t="s">
        <v>10</v>
      </c>
    </row>
    <row r="492" spans="1:7" x14ac:dyDescent="0.35">
      <c r="A492" s="2">
        <v>491</v>
      </c>
      <c r="B492" t="s">
        <v>14</v>
      </c>
      <c r="C492" t="s">
        <v>25</v>
      </c>
      <c r="D492" t="s">
        <v>9</v>
      </c>
      <c r="E492" s="3">
        <v>4500</v>
      </c>
      <c r="F492" s="4">
        <v>43756</v>
      </c>
      <c r="G492" s="2" t="s">
        <v>10</v>
      </c>
    </row>
    <row r="493" spans="1:7" x14ac:dyDescent="0.35">
      <c r="A493" s="2">
        <v>492</v>
      </c>
      <c r="B493" t="s">
        <v>16</v>
      </c>
      <c r="C493" t="s">
        <v>27</v>
      </c>
      <c r="D493" t="s">
        <v>22</v>
      </c>
      <c r="E493" s="3">
        <v>500</v>
      </c>
      <c r="F493" s="4">
        <v>43585</v>
      </c>
      <c r="G493" s="2" t="s">
        <v>10</v>
      </c>
    </row>
    <row r="494" spans="1:7" x14ac:dyDescent="0.35">
      <c r="A494" s="2">
        <v>493</v>
      </c>
      <c r="B494" t="s">
        <v>18</v>
      </c>
      <c r="C494" t="s">
        <v>19</v>
      </c>
      <c r="D494" t="s">
        <v>9</v>
      </c>
      <c r="E494" s="3">
        <v>750</v>
      </c>
      <c r="F494" s="4">
        <v>43669</v>
      </c>
      <c r="G494" s="2" t="s">
        <v>10</v>
      </c>
    </row>
    <row r="495" spans="1:7" x14ac:dyDescent="0.35">
      <c r="A495" s="2">
        <v>494</v>
      </c>
      <c r="B495" t="s">
        <v>20</v>
      </c>
      <c r="C495" t="s">
        <v>8</v>
      </c>
      <c r="D495" t="s">
        <v>9</v>
      </c>
      <c r="E495" s="3">
        <v>950</v>
      </c>
      <c r="F495" s="4">
        <v>44158</v>
      </c>
      <c r="G495" s="2" t="s">
        <v>10</v>
      </c>
    </row>
    <row r="496" spans="1:7" x14ac:dyDescent="0.35">
      <c r="A496" s="2">
        <v>495</v>
      </c>
      <c r="B496" t="s">
        <v>7</v>
      </c>
      <c r="C496" t="s">
        <v>12</v>
      </c>
      <c r="D496" t="s">
        <v>13</v>
      </c>
      <c r="E496" s="3">
        <v>680</v>
      </c>
      <c r="F496" s="4">
        <v>44416</v>
      </c>
      <c r="G496" s="2" t="s">
        <v>10</v>
      </c>
    </row>
    <row r="497" spans="1:7" x14ac:dyDescent="0.35">
      <c r="A497" s="2">
        <v>496</v>
      </c>
      <c r="B497" t="s">
        <v>11</v>
      </c>
      <c r="C497" t="s">
        <v>15</v>
      </c>
      <c r="D497" t="s">
        <v>13</v>
      </c>
      <c r="E497" s="3">
        <v>950</v>
      </c>
      <c r="F497" s="4">
        <v>44255</v>
      </c>
      <c r="G497" s="2" t="s">
        <v>10</v>
      </c>
    </row>
    <row r="498" spans="1:7" x14ac:dyDescent="0.35">
      <c r="A498" s="2">
        <v>497</v>
      </c>
      <c r="B498" t="s">
        <v>14</v>
      </c>
      <c r="C498" t="s">
        <v>17</v>
      </c>
      <c r="D498" t="s">
        <v>13</v>
      </c>
      <c r="E498" s="3">
        <v>1500</v>
      </c>
      <c r="F498" s="4">
        <v>44545</v>
      </c>
      <c r="G498" s="2" t="s">
        <v>10</v>
      </c>
    </row>
    <row r="499" spans="1:7" x14ac:dyDescent="0.35">
      <c r="A499" s="2">
        <v>498</v>
      </c>
      <c r="B499" t="s">
        <v>16</v>
      </c>
      <c r="C499" t="s">
        <v>21</v>
      </c>
      <c r="D499" t="s">
        <v>22</v>
      </c>
      <c r="E499" s="3">
        <v>5000</v>
      </c>
      <c r="F499" s="4">
        <v>43663</v>
      </c>
      <c r="G499" s="2" t="s">
        <v>10</v>
      </c>
    </row>
    <row r="500" spans="1:7" x14ac:dyDescent="0.35">
      <c r="A500" s="2">
        <v>499</v>
      </c>
      <c r="B500" t="s">
        <v>18</v>
      </c>
      <c r="C500" t="s">
        <v>23</v>
      </c>
      <c r="D500" t="s">
        <v>22</v>
      </c>
      <c r="E500" s="3">
        <v>6500</v>
      </c>
      <c r="F500" s="4">
        <v>43891</v>
      </c>
      <c r="G500" s="2" t="s">
        <v>10</v>
      </c>
    </row>
    <row r="501" spans="1:7" x14ac:dyDescent="0.35">
      <c r="A501" s="2">
        <v>500</v>
      </c>
      <c r="B501" t="s">
        <v>20</v>
      </c>
      <c r="C501" t="s">
        <v>24</v>
      </c>
      <c r="D501" t="s">
        <v>9</v>
      </c>
      <c r="E501" s="3">
        <v>1200</v>
      </c>
      <c r="F501" s="4">
        <v>44361</v>
      </c>
      <c r="G501" s="2" t="s">
        <v>10</v>
      </c>
    </row>
    <row r="502" spans="1:7" x14ac:dyDescent="0.35">
      <c r="A502" s="2">
        <v>501</v>
      </c>
      <c r="B502" t="s">
        <v>7</v>
      </c>
      <c r="C502" t="s">
        <v>8</v>
      </c>
      <c r="D502" t="s">
        <v>9</v>
      </c>
      <c r="E502" s="3">
        <v>800</v>
      </c>
      <c r="F502" s="4">
        <v>43717</v>
      </c>
      <c r="G502" s="2" t="s">
        <v>10</v>
      </c>
    </row>
    <row r="503" spans="1:7" x14ac:dyDescent="0.35">
      <c r="A503" s="2">
        <v>502</v>
      </c>
      <c r="B503" t="s">
        <v>7</v>
      </c>
      <c r="C503" t="s">
        <v>12</v>
      </c>
      <c r="D503" t="s">
        <v>13</v>
      </c>
      <c r="E503" s="3">
        <v>750</v>
      </c>
      <c r="F503" s="4">
        <v>44550</v>
      </c>
      <c r="G503" s="2" t="s">
        <v>10</v>
      </c>
    </row>
    <row r="504" spans="1:7" x14ac:dyDescent="0.35">
      <c r="A504" s="2">
        <v>503</v>
      </c>
      <c r="B504" t="s">
        <v>11</v>
      </c>
      <c r="C504" t="s">
        <v>12</v>
      </c>
      <c r="D504" t="s">
        <v>13</v>
      </c>
      <c r="E504" s="3">
        <v>4500</v>
      </c>
      <c r="F504" s="4">
        <v>44182</v>
      </c>
      <c r="G504" s="2" t="s">
        <v>10</v>
      </c>
    </row>
    <row r="505" spans="1:7" x14ac:dyDescent="0.35">
      <c r="A505" s="2">
        <v>504</v>
      </c>
      <c r="B505" t="s">
        <v>14</v>
      </c>
      <c r="C505" t="s">
        <v>15</v>
      </c>
      <c r="D505" t="s">
        <v>13</v>
      </c>
      <c r="E505" s="3">
        <v>500</v>
      </c>
      <c r="F505" s="4">
        <v>43752</v>
      </c>
      <c r="G505" s="2" t="s">
        <v>10</v>
      </c>
    </row>
    <row r="506" spans="1:7" x14ac:dyDescent="0.35">
      <c r="A506" s="2">
        <v>505</v>
      </c>
      <c r="B506" t="s">
        <v>16</v>
      </c>
      <c r="C506" t="s">
        <v>17</v>
      </c>
      <c r="D506" t="s">
        <v>13</v>
      </c>
      <c r="E506" s="3">
        <v>750</v>
      </c>
      <c r="F506" s="4">
        <v>44174</v>
      </c>
      <c r="G506" s="2" t="s">
        <v>26</v>
      </c>
    </row>
    <row r="507" spans="1:7" x14ac:dyDescent="0.35">
      <c r="A507" s="2">
        <v>506</v>
      </c>
      <c r="B507" t="s">
        <v>18</v>
      </c>
      <c r="C507" t="s">
        <v>21</v>
      </c>
      <c r="D507" t="s">
        <v>22</v>
      </c>
      <c r="E507" s="3">
        <v>950</v>
      </c>
      <c r="F507" s="4">
        <v>44317</v>
      </c>
      <c r="G507" s="2" t="s">
        <v>26</v>
      </c>
    </row>
    <row r="508" spans="1:7" x14ac:dyDescent="0.35">
      <c r="A508" s="2">
        <v>507</v>
      </c>
      <c r="B508" t="s">
        <v>20</v>
      </c>
      <c r="C508" t="s">
        <v>23</v>
      </c>
      <c r="D508" t="s">
        <v>22</v>
      </c>
      <c r="E508" s="3">
        <v>680</v>
      </c>
      <c r="F508" s="4">
        <v>44544</v>
      </c>
      <c r="G508" s="2" t="s">
        <v>26</v>
      </c>
    </row>
    <row r="509" spans="1:7" x14ac:dyDescent="0.35">
      <c r="A509" s="2">
        <v>508</v>
      </c>
      <c r="B509" t="s">
        <v>7</v>
      </c>
      <c r="C509" t="s">
        <v>24</v>
      </c>
      <c r="D509" t="s">
        <v>9</v>
      </c>
      <c r="E509" s="3">
        <v>950</v>
      </c>
      <c r="F509" s="4">
        <v>43716</v>
      </c>
      <c r="G509" s="2" t="s">
        <v>26</v>
      </c>
    </row>
    <row r="510" spans="1:7" x14ac:dyDescent="0.35">
      <c r="A510" s="2">
        <v>509</v>
      </c>
      <c r="B510" t="s">
        <v>11</v>
      </c>
      <c r="C510" t="s">
        <v>25</v>
      </c>
      <c r="D510" t="s">
        <v>9</v>
      </c>
      <c r="E510" s="3">
        <v>1500</v>
      </c>
      <c r="F510" s="4">
        <v>43626</v>
      </c>
      <c r="G510" s="2" t="s">
        <v>26</v>
      </c>
    </row>
    <row r="511" spans="1:7" x14ac:dyDescent="0.35">
      <c r="A511" s="2">
        <v>510</v>
      </c>
      <c r="B511" t="s">
        <v>14</v>
      </c>
      <c r="C511" t="s">
        <v>24</v>
      </c>
      <c r="D511" t="s">
        <v>9</v>
      </c>
      <c r="E511" s="3">
        <v>5000</v>
      </c>
      <c r="F511" s="4">
        <v>43606</v>
      </c>
      <c r="G511" s="2" t="s">
        <v>26</v>
      </c>
    </row>
    <row r="512" spans="1:7" x14ac:dyDescent="0.35">
      <c r="A512" s="2">
        <v>511</v>
      </c>
      <c r="B512" t="s">
        <v>16</v>
      </c>
      <c r="C512" t="s">
        <v>25</v>
      </c>
      <c r="D512" t="s">
        <v>9</v>
      </c>
      <c r="E512" s="3">
        <v>6500</v>
      </c>
      <c r="F512" s="4">
        <v>44185</v>
      </c>
      <c r="G512" s="2" t="s">
        <v>26</v>
      </c>
    </row>
    <row r="513" spans="1:7" x14ac:dyDescent="0.35">
      <c r="A513" s="2">
        <v>512</v>
      </c>
      <c r="B513" t="s">
        <v>18</v>
      </c>
      <c r="C513" t="s">
        <v>27</v>
      </c>
      <c r="D513" t="s">
        <v>22</v>
      </c>
      <c r="E513" s="3">
        <v>8500</v>
      </c>
      <c r="F513" s="4">
        <v>44265</v>
      </c>
      <c r="G513" s="2" t="s">
        <v>10</v>
      </c>
    </row>
    <row r="514" spans="1:7" x14ac:dyDescent="0.35">
      <c r="A514" s="2">
        <v>513</v>
      </c>
      <c r="B514" t="s">
        <v>20</v>
      </c>
      <c r="C514" t="s">
        <v>19</v>
      </c>
      <c r="D514" t="s">
        <v>9</v>
      </c>
      <c r="E514" s="3">
        <v>1200</v>
      </c>
      <c r="F514" s="4">
        <v>43503</v>
      </c>
      <c r="G514" s="2" t="s">
        <v>10</v>
      </c>
    </row>
    <row r="515" spans="1:7" x14ac:dyDescent="0.35">
      <c r="A515" s="2">
        <v>514</v>
      </c>
      <c r="B515" t="s">
        <v>7</v>
      </c>
      <c r="C515" t="s">
        <v>8</v>
      </c>
      <c r="D515" t="s">
        <v>9</v>
      </c>
      <c r="E515" s="3">
        <v>300</v>
      </c>
      <c r="F515" s="4">
        <v>44382</v>
      </c>
      <c r="G515" s="2" t="s">
        <v>10</v>
      </c>
    </row>
    <row r="516" spans="1:7" x14ac:dyDescent="0.35">
      <c r="A516" s="2">
        <v>515</v>
      </c>
      <c r="B516" t="s">
        <v>11</v>
      </c>
      <c r="C516" t="s">
        <v>12</v>
      </c>
      <c r="D516" t="s">
        <v>13</v>
      </c>
      <c r="E516" s="3">
        <v>200</v>
      </c>
      <c r="F516" s="4">
        <v>44222</v>
      </c>
      <c r="G516" s="2" t="s">
        <v>10</v>
      </c>
    </row>
    <row r="517" spans="1:7" x14ac:dyDescent="0.35">
      <c r="A517" s="2">
        <v>516</v>
      </c>
      <c r="B517" t="s">
        <v>14</v>
      </c>
      <c r="C517" t="s">
        <v>15</v>
      </c>
      <c r="D517" t="s">
        <v>13</v>
      </c>
      <c r="E517" s="3">
        <v>150</v>
      </c>
      <c r="F517" s="4">
        <v>44145</v>
      </c>
      <c r="G517" s="2" t="s">
        <v>10</v>
      </c>
    </row>
    <row r="518" spans="1:7" x14ac:dyDescent="0.35">
      <c r="A518" s="2">
        <v>517</v>
      </c>
      <c r="B518" t="s">
        <v>16</v>
      </c>
      <c r="C518" t="s">
        <v>17</v>
      </c>
      <c r="D518" t="s">
        <v>13</v>
      </c>
      <c r="E518" s="3">
        <v>120</v>
      </c>
      <c r="F518" s="4">
        <v>44427</v>
      </c>
      <c r="G518" s="2" t="s">
        <v>10</v>
      </c>
    </row>
    <row r="519" spans="1:7" x14ac:dyDescent="0.35">
      <c r="A519" s="2">
        <v>518</v>
      </c>
      <c r="B519" t="s">
        <v>11</v>
      </c>
      <c r="C519" t="s">
        <v>21</v>
      </c>
      <c r="D519" t="s">
        <v>22</v>
      </c>
      <c r="E519" s="3">
        <v>300</v>
      </c>
      <c r="F519" s="4">
        <v>44332</v>
      </c>
      <c r="G519" s="2" t="s">
        <v>10</v>
      </c>
    </row>
    <row r="520" spans="1:7" x14ac:dyDescent="0.35">
      <c r="A520" s="2">
        <v>519</v>
      </c>
      <c r="B520" t="s">
        <v>14</v>
      </c>
      <c r="C520" t="s">
        <v>23</v>
      </c>
      <c r="D520" t="s">
        <v>22</v>
      </c>
      <c r="E520" s="3">
        <v>350</v>
      </c>
      <c r="F520" s="4">
        <v>44389</v>
      </c>
      <c r="G520" s="2" t="s">
        <v>10</v>
      </c>
    </row>
    <row r="521" spans="1:7" x14ac:dyDescent="0.35">
      <c r="A521" s="2">
        <v>520</v>
      </c>
      <c r="B521" t="s">
        <v>16</v>
      </c>
      <c r="C521" t="s">
        <v>24</v>
      </c>
      <c r="D521" t="s">
        <v>9</v>
      </c>
      <c r="E521" s="3">
        <v>300</v>
      </c>
      <c r="F521" s="4">
        <v>43570</v>
      </c>
      <c r="G521" s="2" t="s">
        <v>10</v>
      </c>
    </row>
    <row r="522" spans="1:7" x14ac:dyDescent="0.35">
      <c r="A522" s="2">
        <v>521</v>
      </c>
      <c r="B522" t="s">
        <v>18</v>
      </c>
      <c r="C522" t="s">
        <v>8</v>
      </c>
      <c r="D522" t="s">
        <v>9</v>
      </c>
      <c r="E522" s="3">
        <v>120</v>
      </c>
      <c r="F522" s="4">
        <v>43826</v>
      </c>
      <c r="G522" s="2" t="s">
        <v>10</v>
      </c>
    </row>
    <row r="523" spans="1:7" x14ac:dyDescent="0.35">
      <c r="A523" s="2">
        <v>522</v>
      </c>
      <c r="B523" t="s">
        <v>20</v>
      </c>
      <c r="C523" t="s">
        <v>12</v>
      </c>
      <c r="D523" t="s">
        <v>13</v>
      </c>
      <c r="E523" s="3">
        <v>150</v>
      </c>
      <c r="F523" s="4">
        <v>43540</v>
      </c>
      <c r="G523" s="2" t="s">
        <v>10</v>
      </c>
    </row>
    <row r="524" spans="1:7" x14ac:dyDescent="0.35">
      <c r="A524" s="2">
        <v>523</v>
      </c>
      <c r="B524" t="s">
        <v>7</v>
      </c>
      <c r="C524" t="s">
        <v>15</v>
      </c>
      <c r="D524" t="s">
        <v>13</v>
      </c>
      <c r="E524" s="3">
        <v>1200</v>
      </c>
      <c r="F524" s="4">
        <v>44089</v>
      </c>
      <c r="G524" s="2" t="s">
        <v>10</v>
      </c>
    </row>
    <row r="525" spans="1:7" x14ac:dyDescent="0.35">
      <c r="A525" s="2">
        <v>524</v>
      </c>
      <c r="B525" t="s">
        <v>11</v>
      </c>
      <c r="C525" t="s">
        <v>17</v>
      </c>
      <c r="D525" t="s">
        <v>13</v>
      </c>
      <c r="E525" s="3">
        <v>800</v>
      </c>
      <c r="F525" s="4">
        <v>43918</v>
      </c>
      <c r="G525" s="2" t="s">
        <v>10</v>
      </c>
    </row>
    <row r="526" spans="1:7" x14ac:dyDescent="0.35">
      <c r="A526" s="2">
        <v>525</v>
      </c>
      <c r="B526" t="s">
        <v>14</v>
      </c>
      <c r="C526" t="s">
        <v>19</v>
      </c>
      <c r="D526" t="s">
        <v>9</v>
      </c>
      <c r="E526" s="3">
        <v>750</v>
      </c>
      <c r="F526" s="4">
        <v>44058</v>
      </c>
      <c r="G526" s="2" t="s">
        <v>10</v>
      </c>
    </row>
    <row r="527" spans="1:7" x14ac:dyDescent="0.35">
      <c r="A527" s="2">
        <v>526</v>
      </c>
      <c r="B527" t="s">
        <v>20</v>
      </c>
      <c r="C527" t="s">
        <v>8</v>
      </c>
      <c r="D527" t="s">
        <v>9</v>
      </c>
      <c r="E527" s="3">
        <v>4500</v>
      </c>
      <c r="F527" s="4">
        <v>43527</v>
      </c>
      <c r="G527" s="2" t="s">
        <v>10</v>
      </c>
    </row>
    <row r="528" spans="1:7" x14ac:dyDescent="0.35">
      <c r="A528" s="2">
        <v>527</v>
      </c>
      <c r="B528" t="s">
        <v>7</v>
      </c>
      <c r="C528" t="s">
        <v>12</v>
      </c>
      <c r="D528" t="s">
        <v>13</v>
      </c>
      <c r="E528" s="3">
        <v>500</v>
      </c>
      <c r="F528" s="4">
        <v>43836</v>
      </c>
      <c r="G528" s="2" t="s">
        <v>10</v>
      </c>
    </row>
    <row r="529" spans="1:7" x14ac:dyDescent="0.35">
      <c r="A529" s="2">
        <v>528</v>
      </c>
      <c r="B529" t="s">
        <v>11</v>
      </c>
      <c r="C529" t="s">
        <v>12</v>
      </c>
      <c r="D529" t="s">
        <v>13</v>
      </c>
      <c r="E529" s="3">
        <v>750</v>
      </c>
      <c r="F529" s="4">
        <v>44418</v>
      </c>
      <c r="G529" s="2" t="s">
        <v>10</v>
      </c>
    </row>
    <row r="530" spans="1:7" x14ac:dyDescent="0.35">
      <c r="A530" s="2">
        <v>529</v>
      </c>
      <c r="B530" t="s">
        <v>14</v>
      </c>
      <c r="C530" t="s">
        <v>15</v>
      </c>
      <c r="D530" t="s">
        <v>13</v>
      </c>
      <c r="E530" s="3">
        <v>950</v>
      </c>
      <c r="F530" s="4">
        <v>44335</v>
      </c>
      <c r="G530" s="2" t="s">
        <v>10</v>
      </c>
    </row>
    <row r="531" spans="1:7" x14ac:dyDescent="0.35">
      <c r="A531" s="2">
        <v>530</v>
      </c>
      <c r="B531" t="s">
        <v>16</v>
      </c>
      <c r="C531" t="s">
        <v>17</v>
      </c>
      <c r="D531" t="s">
        <v>13</v>
      </c>
      <c r="E531" s="3">
        <v>680</v>
      </c>
      <c r="F531" s="4">
        <v>43904</v>
      </c>
      <c r="G531" s="2" t="s">
        <v>10</v>
      </c>
    </row>
    <row r="532" spans="1:7" x14ac:dyDescent="0.35">
      <c r="A532" s="2">
        <v>531</v>
      </c>
      <c r="B532" t="s">
        <v>18</v>
      </c>
      <c r="C532" t="s">
        <v>21</v>
      </c>
      <c r="D532" t="s">
        <v>22</v>
      </c>
      <c r="E532" s="3">
        <v>950</v>
      </c>
      <c r="F532" s="4">
        <v>43612</v>
      </c>
      <c r="G532" s="2" t="s">
        <v>10</v>
      </c>
    </row>
    <row r="533" spans="1:7" x14ac:dyDescent="0.35">
      <c r="A533" s="2">
        <v>532</v>
      </c>
      <c r="B533" t="s">
        <v>20</v>
      </c>
      <c r="C533" t="s">
        <v>23</v>
      </c>
      <c r="D533" t="s">
        <v>22</v>
      </c>
      <c r="E533" s="3">
        <v>1500</v>
      </c>
      <c r="F533" s="4">
        <v>44127</v>
      </c>
      <c r="G533" s="2" t="s">
        <v>10</v>
      </c>
    </row>
    <row r="534" spans="1:7" x14ac:dyDescent="0.35">
      <c r="A534" s="2">
        <v>533</v>
      </c>
      <c r="B534" t="s">
        <v>7</v>
      </c>
      <c r="C534" t="s">
        <v>24</v>
      </c>
      <c r="D534" t="s">
        <v>9</v>
      </c>
      <c r="E534" s="3">
        <v>5000</v>
      </c>
      <c r="F534" s="4">
        <v>43952</v>
      </c>
      <c r="G534" s="2" t="s">
        <v>26</v>
      </c>
    </row>
    <row r="535" spans="1:7" x14ac:dyDescent="0.35">
      <c r="A535" s="2">
        <v>534</v>
      </c>
      <c r="B535" t="s">
        <v>11</v>
      </c>
      <c r="C535" t="s">
        <v>25</v>
      </c>
      <c r="D535" t="s">
        <v>9</v>
      </c>
      <c r="E535" s="3">
        <v>6500</v>
      </c>
      <c r="F535" s="4">
        <v>43632</v>
      </c>
      <c r="G535" s="2" t="s">
        <v>26</v>
      </c>
    </row>
    <row r="536" spans="1:7" x14ac:dyDescent="0.35">
      <c r="A536" s="2">
        <v>535</v>
      </c>
      <c r="B536" t="s">
        <v>14</v>
      </c>
      <c r="C536" t="s">
        <v>24</v>
      </c>
      <c r="D536" t="s">
        <v>9</v>
      </c>
      <c r="E536" s="3">
        <v>8500</v>
      </c>
      <c r="F536" s="4">
        <v>43722</v>
      </c>
      <c r="G536" s="2" t="s">
        <v>26</v>
      </c>
    </row>
    <row r="537" spans="1:7" x14ac:dyDescent="0.35">
      <c r="A537" s="2">
        <v>536</v>
      </c>
      <c r="B537" t="s">
        <v>16</v>
      </c>
      <c r="C537" t="s">
        <v>25</v>
      </c>
      <c r="D537" t="s">
        <v>9</v>
      </c>
      <c r="E537" s="3">
        <v>1200</v>
      </c>
      <c r="F537" s="4">
        <v>43856</v>
      </c>
      <c r="G537" s="2" t="s">
        <v>26</v>
      </c>
    </row>
    <row r="538" spans="1:7" x14ac:dyDescent="0.35">
      <c r="A538" s="2">
        <v>537</v>
      </c>
      <c r="B538" t="s">
        <v>18</v>
      </c>
      <c r="C538" t="s">
        <v>27</v>
      </c>
      <c r="D538" t="s">
        <v>22</v>
      </c>
      <c r="E538" s="3">
        <v>300</v>
      </c>
      <c r="F538" s="4">
        <v>43725</v>
      </c>
      <c r="G538" s="2" t="s">
        <v>26</v>
      </c>
    </row>
    <row r="539" spans="1:7" x14ac:dyDescent="0.35">
      <c r="A539" s="2">
        <v>538</v>
      </c>
      <c r="B539" t="s">
        <v>20</v>
      </c>
      <c r="C539" t="s">
        <v>19</v>
      </c>
      <c r="D539" t="s">
        <v>9</v>
      </c>
      <c r="E539" s="3">
        <v>200</v>
      </c>
      <c r="F539" s="4">
        <v>43691</v>
      </c>
      <c r="G539" s="2" t="s">
        <v>26</v>
      </c>
    </row>
    <row r="540" spans="1:7" x14ac:dyDescent="0.35">
      <c r="A540" s="2">
        <v>539</v>
      </c>
      <c r="B540" t="s">
        <v>7</v>
      </c>
      <c r="C540" t="s">
        <v>8</v>
      </c>
      <c r="D540" t="s">
        <v>9</v>
      </c>
      <c r="E540" s="3">
        <v>150</v>
      </c>
      <c r="F540" s="4">
        <v>44149</v>
      </c>
      <c r="G540" s="2" t="s">
        <v>26</v>
      </c>
    </row>
    <row r="541" spans="1:7" x14ac:dyDescent="0.35">
      <c r="A541" s="2">
        <v>540</v>
      </c>
      <c r="B541" t="s">
        <v>11</v>
      </c>
      <c r="C541" t="s">
        <v>12</v>
      </c>
      <c r="D541" t="s">
        <v>13</v>
      </c>
      <c r="E541" s="3">
        <v>120</v>
      </c>
      <c r="F541" s="4">
        <v>43577</v>
      </c>
      <c r="G541" s="2" t="s">
        <v>10</v>
      </c>
    </row>
    <row r="542" spans="1:7" x14ac:dyDescent="0.35">
      <c r="A542" s="2">
        <v>541</v>
      </c>
      <c r="B542" t="s">
        <v>14</v>
      </c>
      <c r="C542" t="s">
        <v>15</v>
      </c>
      <c r="D542" t="s">
        <v>13</v>
      </c>
      <c r="E542" s="3">
        <v>300</v>
      </c>
      <c r="F542" s="4">
        <v>43853</v>
      </c>
      <c r="G542" s="2" t="s">
        <v>10</v>
      </c>
    </row>
    <row r="543" spans="1:7" x14ac:dyDescent="0.35">
      <c r="A543" s="2">
        <v>542</v>
      </c>
      <c r="B543" t="s">
        <v>16</v>
      </c>
      <c r="C543" t="s">
        <v>17</v>
      </c>
      <c r="D543" t="s">
        <v>13</v>
      </c>
      <c r="E543" s="3">
        <v>350</v>
      </c>
      <c r="F543" s="4">
        <v>44005</v>
      </c>
      <c r="G543" s="2" t="s">
        <v>10</v>
      </c>
    </row>
    <row r="544" spans="1:7" x14ac:dyDescent="0.35">
      <c r="A544" s="2">
        <v>543</v>
      </c>
      <c r="B544" t="s">
        <v>18</v>
      </c>
      <c r="C544" t="s">
        <v>21</v>
      </c>
      <c r="D544" t="s">
        <v>22</v>
      </c>
      <c r="E544" s="3">
        <v>300</v>
      </c>
      <c r="F544" s="4">
        <v>44090</v>
      </c>
      <c r="G544" s="2" t="s">
        <v>10</v>
      </c>
    </row>
    <row r="545" spans="1:7" x14ac:dyDescent="0.35">
      <c r="A545" s="2">
        <v>544</v>
      </c>
      <c r="B545" t="s">
        <v>20</v>
      </c>
      <c r="C545" t="s">
        <v>23</v>
      </c>
      <c r="D545" t="s">
        <v>22</v>
      </c>
      <c r="E545" s="3">
        <v>120</v>
      </c>
      <c r="F545" s="4">
        <v>44147</v>
      </c>
      <c r="G545" s="2" t="s">
        <v>10</v>
      </c>
    </row>
    <row r="546" spans="1:7" x14ac:dyDescent="0.35">
      <c r="A546" s="2">
        <v>545</v>
      </c>
      <c r="B546" t="s">
        <v>7</v>
      </c>
      <c r="C546" t="s">
        <v>24</v>
      </c>
      <c r="D546" t="s">
        <v>9</v>
      </c>
      <c r="E546" s="3">
        <v>150</v>
      </c>
      <c r="F546" s="4">
        <v>44155</v>
      </c>
      <c r="G546" s="2" t="s">
        <v>10</v>
      </c>
    </row>
    <row r="547" spans="1:7" x14ac:dyDescent="0.35">
      <c r="A547" s="2">
        <v>546</v>
      </c>
      <c r="B547" t="s">
        <v>11</v>
      </c>
      <c r="C547" t="s">
        <v>8</v>
      </c>
      <c r="D547" t="s">
        <v>9</v>
      </c>
      <c r="E547" s="3">
        <v>8500</v>
      </c>
      <c r="F547" s="4">
        <v>44182</v>
      </c>
      <c r="G547" s="2" t="s">
        <v>10</v>
      </c>
    </row>
    <row r="548" spans="1:7" x14ac:dyDescent="0.35">
      <c r="A548" s="2">
        <v>547</v>
      </c>
      <c r="B548" t="s">
        <v>14</v>
      </c>
      <c r="C548" t="s">
        <v>12</v>
      </c>
      <c r="D548" t="s">
        <v>13</v>
      </c>
      <c r="E548" s="3">
        <v>1200</v>
      </c>
      <c r="F548" s="4">
        <v>44333</v>
      </c>
      <c r="G548" s="2" t="s">
        <v>26</v>
      </c>
    </row>
    <row r="549" spans="1:7" x14ac:dyDescent="0.35">
      <c r="A549" s="2">
        <v>548</v>
      </c>
      <c r="B549" t="s">
        <v>16</v>
      </c>
      <c r="C549" t="s">
        <v>12</v>
      </c>
      <c r="D549" t="s">
        <v>13</v>
      </c>
      <c r="E549" s="3">
        <v>300</v>
      </c>
      <c r="F549" s="4">
        <v>43829</v>
      </c>
      <c r="G549" s="2" t="s">
        <v>26</v>
      </c>
    </row>
    <row r="550" spans="1:7" x14ac:dyDescent="0.35">
      <c r="A550" s="2">
        <v>549</v>
      </c>
      <c r="B550" t="s">
        <v>18</v>
      </c>
      <c r="C550" t="s">
        <v>15</v>
      </c>
      <c r="D550" t="s">
        <v>13</v>
      </c>
      <c r="E550" s="3">
        <v>200</v>
      </c>
      <c r="F550" s="4">
        <v>44534</v>
      </c>
      <c r="G550" s="2" t="s">
        <v>26</v>
      </c>
    </row>
    <row r="551" spans="1:7" x14ac:dyDescent="0.35">
      <c r="A551" s="2">
        <v>550</v>
      </c>
      <c r="B551" t="s">
        <v>20</v>
      </c>
      <c r="C551" t="s">
        <v>17</v>
      </c>
      <c r="D551" t="s">
        <v>13</v>
      </c>
      <c r="E551" s="3">
        <v>150</v>
      </c>
      <c r="F551" s="4">
        <v>44178</v>
      </c>
      <c r="G551" s="2" t="s">
        <v>26</v>
      </c>
    </row>
    <row r="552" spans="1:7" x14ac:dyDescent="0.35">
      <c r="A552" s="2">
        <v>551</v>
      </c>
      <c r="B552" t="s">
        <v>7</v>
      </c>
      <c r="C552" t="s">
        <v>21</v>
      </c>
      <c r="D552" t="s">
        <v>22</v>
      </c>
      <c r="E552" s="3">
        <v>120</v>
      </c>
      <c r="F552" s="4">
        <v>44555</v>
      </c>
      <c r="G552" s="2" t="s">
        <v>26</v>
      </c>
    </row>
    <row r="553" spans="1:7" x14ac:dyDescent="0.35">
      <c r="A553" s="2">
        <v>552</v>
      </c>
      <c r="B553" t="s">
        <v>11</v>
      </c>
      <c r="C553" t="s">
        <v>23</v>
      </c>
      <c r="D553" t="s">
        <v>22</v>
      </c>
      <c r="E553" s="3">
        <v>300</v>
      </c>
      <c r="F553" s="4">
        <v>43749</v>
      </c>
      <c r="G553" s="2" t="s">
        <v>26</v>
      </c>
    </row>
    <row r="554" spans="1:7" x14ac:dyDescent="0.35">
      <c r="A554" s="2">
        <v>553</v>
      </c>
      <c r="B554" t="s">
        <v>14</v>
      </c>
      <c r="C554" t="s">
        <v>24</v>
      </c>
      <c r="D554" t="s">
        <v>9</v>
      </c>
      <c r="E554" s="3">
        <v>350</v>
      </c>
      <c r="F554" s="4">
        <v>43812</v>
      </c>
      <c r="G554" s="2" t="s">
        <v>10</v>
      </c>
    </row>
    <row r="555" spans="1:7" x14ac:dyDescent="0.35">
      <c r="A555" s="2">
        <v>554</v>
      </c>
      <c r="B555" t="s">
        <v>16</v>
      </c>
      <c r="C555" t="s">
        <v>25</v>
      </c>
      <c r="D555" t="s">
        <v>9</v>
      </c>
      <c r="E555" s="3">
        <v>300</v>
      </c>
      <c r="F555" s="4">
        <v>43959</v>
      </c>
      <c r="G555" s="2" t="s">
        <v>10</v>
      </c>
    </row>
    <row r="556" spans="1:7" x14ac:dyDescent="0.35">
      <c r="A556" s="2">
        <v>555</v>
      </c>
      <c r="B556" t="s">
        <v>18</v>
      </c>
      <c r="C556" t="s">
        <v>24</v>
      </c>
      <c r="D556" t="s">
        <v>9</v>
      </c>
      <c r="E556" s="3">
        <v>120</v>
      </c>
      <c r="F556" s="4">
        <v>44304</v>
      </c>
      <c r="G556" s="2" t="s">
        <v>10</v>
      </c>
    </row>
    <row r="557" spans="1:7" x14ac:dyDescent="0.35">
      <c r="A557" s="2">
        <v>556</v>
      </c>
      <c r="B557" t="s">
        <v>20</v>
      </c>
      <c r="C557" t="s">
        <v>25</v>
      </c>
      <c r="D557" t="s">
        <v>9</v>
      </c>
      <c r="E557" s="3">
        <v>150</v>
      </c>
      <c r="F557" s="4">
        <v>43720</v>
      </c>
      <c r="G557" s="2" t="s">
        <v>10</v>
      </c>
    </row>
    <row r="558" spans="1:7" x14ac:dyDescent="0.35">
      <c r="A558" s="2">
        <v>557</v>
      </c>
      <c r="B558" t="s">
        <v>7</v>
      </c>
      <c r="C558" t="s">
        <v>27</v>
      </c>
      <c r="D558" t="s">
        <v>22</v>
      </c>
      <c r="E558" s="3">
        <v>1200</v>
      </c>
      <c r="F558" s="4">
        <v>43774</v>
      </c>
      <c r="G558" s="2" t="s">
        <v>10</v>
      </c>
    </row>
    <row r="559" spans="1:7" x14ac:dyDescent="0.35">
      <c r="A559" s="2">
        <v>558</v>
      </c>
      <c r="B559" t="s">
        <v>11</v>
      </c>
      <c r="C559" t="s">
        <v>19</v>
      </c>
      <c r="D559" t="s">
        <v>9</v>
      </c>
      <c r="E559" s="3">
        <v>800</v>
      </c>
      <c r="F559" s="4">
        <v>43854</v>
      </c>
      <c r="G559" s="2" t="s">
        <v>10</v>
      </c>
    </row>
    <row r="560" spans="1:7" x14ac:dyDescent="0.35">
      <c r="A560" s="2">
        <v>559</v>
      </c>
      <c r="B560" t="s">
        <v>14</v>
      </c>
      <c r="C560" t="s">
        <v>8</v>
      </c>
      <c r="D560" t="s">
        <v>9</v>
      </c>
      <c r="E560" s="3">
        <v>750</v>
      </c>
      <c r="F560" s="4">
        <v>44403</v>
      </c>
      <c r="G560" s="2" t="s">
        <v>10</v>
      </c>
    </row>
    <row r="561" spans="1:7" x14ac:dyDescent="0.35">
      <c r="A561" s="2">
        <v>560</v>
      </c>
      <c r="B561" t="s">
        <v>20</v>
      </c>
      <c r="C561" t="s">
        <v>12</v>
      </c>
      <c r="D561" t="s">
        <v>13</v>
      </c>
      <c r="E561" s="3">
        <v>4500</v>
      </c>
      <c r="F561" s="4">
        <v>44062</v>
      </c>
      <c r="G561" s="2" t="s">
        <v>10</v>
      </c>
    </row>
    <row r="562" spans="1:7" x14ac:dyDescent="0.35">
      <c r="A562" s="2">
        <v>561</v>
      </c>
      <c r="B562" t="s">
        <v>7</v>
      </c>
      <c r="C562" t="s">
        <v>15</v>
      </c>
      <c r="D562" t="s">
        <v>13</v>
      </c>
      <c r="E562" s="3">
        <v>500</v>
      </c>
      <c r="F562" s="4">
        <v>43641</v>
      </c>
      <c r="G562" s="2" t="s">
        <v>10</v>
      </c>
    </row>
    <row r="563" spans="1:7" x14ac:dyDescent="0.35">
      <c r="A563" s="2">
        <v>562</v>
      </c>
      <c r="B563" t="s">
        <v>11</v>
      </c>
      <c r="C563" t="s">
        <v>17</v>
      </c>
      <c r="D563" t="s">
        <v>13</v>
      </c>
      <c r="E563" s="3">
        <v>750</v>
      </c>
      <c r="F563" s="4">
        <v>43701</v>
      </c>
      <c r="G563" s="2" t="s">
        <v>10</v>
      </c>
    </row>
    <row r="564" spans="1:7" x14ac:dyDescent="0.35">
      <c r="A564" s="2">
        <v>563</v>
      </c>
      <c r="B564" t="s">
        <v>14</v>
      </c>
      <c r="C564" t="s">
        <v>21</v>
      </c>
      <c r="D564" t="s">
        <v>22</v>
      </c>
      <c r="E564" s="3">
        <v>950</v>
      </c>
      <c r="F564" s="4">
        <v>44278</v>
      </c>
      <c r="G564" s="2" t="s">
        <v>10</v>
      </c>
    </row>
    <row r="565" spans="1:7" x14ac:dyDescent="0.35">
      <c r="A565" s="2">
        <v>564</v>
      </c>
      <c r="B565" t="s">
        <v>16</v>
      </c>
      <c r="C565" t="s">
        <v>23</v>
      </c>
      <c r="D565" t="s">
        <v>22</v>
      </c>
      <c r="E565" s="3">
        <v>680</v>
      </c>
      <c r="F565" s="4">
        <v>44471</v>
      </c>
      <c r="G565" s="2" t="s">
        <v>10</v>
      </c>
    </row>
    <row r="566" spans="1:7" x14ac:dyDescent="0.35">
      <c r="A566" s="2">
        <v>565</v>
      </c>
      <c r="B566" t="s">
        <v>18</v>
      </c>
      <c r="C566" t="s">
        <v>24</v>
      </c>
      <c r="D566" t="s">
        <v>9</v>
      </c>
      <c r="E566" s="3">
        <v>950</v>
      </c>
      <c r="F566" s="4">
        <v>44448</v>
      </c>
      <c r="G566" s="2" t="s">
        <v>10</v>
      </c>
    </row>
    <row r="567" spans="1:7" x14ac:dyDescent="0.35">
      <c r="A567" s="2">
        <v>566</v>
      </c>
      <c r="B567" t="s">
        <v>20</v>
      </c>
      <c r="C567" t="s">
        <v>8</v>
      </c>
      <c r="D567" t="s">
        <v>9</v>
      </c>
      <c r="E567" s="3">
        <v>1500</v>
      </c>
      <c r="F567" s="4">
        <v>43646</v>
      </c>
      <c r="G567" s="2" t="s">
        <v>10</v>
      </c>
    </row>
    <row r="568" spans="1:7" x14ac:dyDescent="0.35">
      <c r="A568" s="2">
        <v>567</v>
      </c>
      <c r="B568" t="s">
        <v>7</v>
      </c>
      <c r="C568" t="s">
        <v>12</v>
      </c>
      <c r="D568" t="s">
        <v>13</v>
      </c>
      <c r="E568" s="3">
        <v>5000</v>
      </c>
      <c r="F568" s="4">
        <v>43767</v>
      </c>
      <c r="G568" s="2" t="s">
        <v>10</v>
      </c>
    </row>
    <row r="569" spans="1:7" x14ac:dyDescent="0.35">
      <c r="A569" s="2">
        <v>568</v>
      </c>
      <c r="B569" t="s">
        <v>11</v>
      </c>
      <c r="C569" t="s">
        <v>12</v>
      </c>
      <c r="D569" t="s">
        <v>13</v>
      </c>
      <c r="E569" s="3">
        <v>6500</v>
      </c>
      <c r="F569" s="4">
        <v>44031</v>
      </c>
      <c r="G569" s="2" t="s">
        <v>10</v>
      </c>
    </row>
    <row r="570" spans="1:7" x14ac:dyDescent="0.35">
      <c r="A570" s="2">
        <v>569</v>
      </c>
      <c r="B570" t="s">
        <v>14</v>
      </c>
      <c r="C570" t="s">
        <v>15</v>
      </c>
      <c r="D570" t="s">
        <v>13</v>
      </c>
      <c r="E570" s="3">
        <v>1200</v>
      </c>
      <c r="F570" s="4">
        <v>44416</v>
      </c>
      <c r="G570" s="2" t="s">
        <v>10</v>
      </c>
    </row>
    <row r="571" spans="1:7" x14ac:dyDescent="0.35">
      <c r="A571" s="2">
        <v>570</v>
      </c>
      <c r="B571" t="s">
        <v>16</v>
      </c>
      <c r="C571" t="s">
        <v>17</v>
      </c>
      <c r="D571" t="s">
        <v>13</v>
      </c>
      <c r="E571" s="3">
        <v>800</v>
      </c>
      <c r="F571" s="4">
        <v>43849</v>
      </c>
      <c r="G571" s="2" t="s">
        <v>10</v>
      </c>
    </row>
    <row r="572" spans="1:7" x14ac:dyDescent="0.35">
      <c r="A572" s="2">
        <v>571</v>
      </c>
      <c r="B572" t="s">
        <v>18</v>
      </c>
      <c r="C572" t="s">
        <v>21</v>
      </c>
      <c r="D572" t="s">
        <v>22</v>
      </c>
      <c r="E572" s="3">
        <v>750</v>
      </c>
      <c r="F572" s="4">
        <v>43547</v>
      </c>
      <c r="G572" s="2" t="s">
        <v>10</v>
      </c>
    </row>
    <row r="573" spans="1:7" x14ac:dyDescent="0.35">
      <c r="A573" s="2">
        <v>572</v>
      </c>
      <c r="B573" t="s">
        <v>20</v>
      </c>
      <c r="C573" t="s">
        <v>23</v>
      </c>
      <c r="D573" t="s">
        <v>22</v>
      </c>
      <c r="E573" s="3">
        <v>4500</v>
      </c>
      <c r="F573" s="4">
        <v>44391</v>
      </c>
      <c r="G573" s="2" t="s">
        <v>10</v>
      </c>
    </row>
    <row r="574" spans="1:7" x14ac:dyDescent="0.35">
      <c r="A574" s="2">
        <v>573</v>
      </c>
      <c r="B574" t="s">
        <v>7</v>
      </c>
      <c r="C574" t="s">
        <v>24</v>
      </c>
      <c r="D574" t="s">
        <v>9</v>
      </c>
      <c r="E574" s="3">
        <v>500</v>
      </c>
      <c r="F574" s="4">
        <v>44089</v>
      </c>
      <c r="G574" s="2" t="s">
        <v>10</v>
      </c>
    </row>
    <row r="575" spans="1:7" x14ac:dyDescent="0.35">
      <c r="A575" s="2">
        <v>574</v>
      </c>
      <c r="B575" t="s">
        <v>11</v>
      </c>
      <c r="C575" t="s">
        <v>25</v>
      </c>
      <c r="D575" t="s">
        <v>9</v>
      </c>
      <c r="E575" s="3">
        <v>750</v>
      </c>
      <c r="F575" s="4">
        <v>43521</v>
      </c>
      <c r="G575" s="2" t="s">
        <v>26</v>
      </c>
    </row>
    <row r="576" spans="1:7" x14ac:dyDescent="0.35">
      <c r="A576" s="2">
        <v>575</v>
      </c>
      <c r="B576" t="s">
        <v>14</v>
      </c>
      <c r="C576" t="s">
        <v>24</v>
      </c>
      <c r="D576" t="s">
        <v>9</v>
      </c>
      <c r="E576" s="3">
        <v>950</v>
      </c>
      <c r="F576" s="4">
        <v>44153</v>
      </c>
      <c r="G576" s="2" t="s">
        <v>26</v>
      </c>
    </row>
    <row r="577" spans="1:7" x14ac:dyDescent="0.35">
      <c r="A577" s="2">
        <v>576</v>
      </c>
      <c r="B577" t="s">
        <v>16</v>
      </c>
      <c r="C577" t="s">
        <v>25</v>
      </c>
      <c r="D577" t="s">
        <v>9</v>
      </c>
      <c r="E577" s="3">
        <v>680</v>
      </c>
      <c r="F577" s="4">
        <v>44050</v>
      </c>
      <c r="G577" s="2" t="s">
        <v>26</v>
      </c>
    </row>
    <row r="578" spans="1:7" x14ac:dyDescent="0.35">
      <c r="A578" s="2">
        <v>577</v>
      </c>
      <c r="B578" t="s">
        <v>18</v>
      </c>
      <c r="C578" t="s">
        <v>27</v>
      </c>
      <c r="D578" t="s">
        <v>22</v>
      </c>
      <c r="E578" s="3">
        <v>950</v>
      </c>
      <c r="F578" s="4">
        <v>44164</v>
      </c>
      <c r="G578" s="2" t="s">
        <v>26</v>
      </c>
    </row>
    <row r="579" spans="1:7" x14ac:dyDescent="0.35">
      <c r="A579" s="2">
        <v>578</v>
      </c>
      <c r="B579" t="s">
        <v>20</v>
      </c>
      <c r="C579" t="s">
        <v>19</v>
      </c>
      <c r="D579" t="s">
        <v>9</v>
      </c>
      <c r="E579" s="3">
        <v>1500</v>
      </c>
      <c r="F579" s="4">
        <v>43700</v>
      </c>
      <c r="G579" s="2" t="s">
        <v>26</v>
      </c>
    </row>
    <row r="580" spans="1:7" x14ac:dyDescent="0.35">
      <c r="A580" s="2">
        <v>579</v>
      </c>
      <c r="B580" t="s">
        <v>7</v>
      </c>
      <c r="C580" t="s">
        <v>8</v>
      </c>
      <c r="D580" t="s">
        <v>9</v>
      </c>
      <c r="E580" s="3">
        <v>5000</v>
      </c>
      <c r="F580" s="4">
        <v>44254</v>
      </c>
      <c r="G580" s="2" t="s">
        <v>26</v>
      </c>
    </row>
    <row r="581" spans="1:7" x14ac:dyDescent="0.35">
      <c r="A581" s="2">
        <v>580</v>
      </c>
      <c r="B581" t="s">
        <v>7</v>
      </c>
      <c r="C581" t="s">
        <v>12</v>
      </c>
      <c r="D581" t="s">
        <v>13</v>
      </c>
      <c r="E581" s="3">
        <v>6500</v>
      </c>
      <c r="F581" s="4">
        <v>43942</v>
      </c>
      <c r="G581" s="2" t="s">
        <v>26</v>
      </c>
    </row>
    <row r="582" spans="1:7" x14ac:dyDescent="0.35">
      <c r="A582" s="2">
        <v>581</v>
      </c>
      <c r="B582" t="s">
        <v>11</v>
      </c>
      <c r="C582" t="s">
        <v>15</v>
      </c>
      <c r="D582" t="s">
        <v>13</v>
      </c>
      <c r="E582" s="3">
        <v>8500</v>
      </c>
      <c r="F582" s="4">
        <v>44043</v>
      </c>
      <c r="G582" s="2" t="s">
        <v>10</v>
      </c>
    </row>
    <row r="583" spans="1:7" x14ac:dyDescent="0.35">
      <c r="A583" s="2">
        <v>582</v>
      </c>
      <c r="B583" t="s">
        <v>14</v>
      </c>
      <c r="C583" t="s">
        <v>17</v>
      </c>
      <c r="D583" t="s">
        <v>13</v>
      </c>
      <c r="E583" s="3">
        <v>1200</v>
      </c>
      <c r="F583" s="4">
        <v>44387</v>
      </c>
      <c r="G583" s="2" t="s">
        <v>10</v>
      </c>
    </row>
    <row r="584" spans="1:7" x14ac:dyDescent="0.35">
      <c r="A584" s="2">
        <v>583</v>
      </c>
      <c r="B584" t="s">
        <v>16</v>
      </c>
      <c r="C584" t="s">
        <v>21</v>
      </c>
      <c r="D584" t="s">
        <v>22</v>
      </c>
      <c r="E584" s="3">
        <v>300</v>
      </c>
      <c r="F584" s="4">
        <v>44371</v>
      </c>
      <c r="G584" s="2" t="s">
        <v>10</v>
      </c>
    </row>
    <row r="585" spans="1:7" x14ac:dyDescent="0.35">
      <c r="A585" s="2">
        <v>584</v>
      </c>
      <c r="B585" t="s">
        <v>18</v>
      </c>
      <c r="C585" t="s">
        <v>23</v>
      </c>
      <c r="D585" t="s">
        <v>22</v>
      </c>
      <c r="E585" s="3">
        <v>200</v>
      </c>
      <c r="F585" s="4">
        <v>44099</v>
      </c>
      <c r="G585" s="2" t="s">
        <v>10</v>
      </c>
    </row>
    <row r="586" spans="1:7" x14ac:dyDescent="0.35">
      <c r="A586" s="2">
        <v>585</v>
      </c>
      <c r="B586" t="s">
        <v>20</v>
      </c>
      <c r="C586" t="s">
        <v>24</v>
      </c>
      <c r="D586" t="s">
        <v>9</v>
      </c>
      <c r="E586" s="3">
        <v>150</v>
      </c>
      <c r="F586" s="4">
        <v>43917</v>
      </c>
      <c r="G586" s="2" t="s">
        <v>10</v>
      </c>
    </row>
    <row r="587" spans="1:7" x14ac:dyDescent="0.35">
      <c r="A587" s="2">
        <v>586</v>
      </c>
      <c r="B587" t="s">
        <v>7</v>
      </c>
      <c r="C587" t="s">
        <v>8</v>
      </c>
      <c r="D587" t="s">
        <v>9</v>
      </c>
      <c r="E587" s="3">
        <v>120</v>
      </c>
      <c r="F587" s="4">
        <v>44215</v>
      </c>
      <c r="G587" s="2" t="s">
        <v>10</v>
      </c>
    </row>
    <row r="588" spans="1:7" x14ac:dyDescent="0.35">
      <c r="A588" s="2">
        <v>587</v>
      </c>
      <c r="B588" t="s">
        <v>11</v>
      </c>
      <c r="C588" t="s">
        <v>12</v>
      </c>
      <c r="D588" t="s">
        <v>13</v>
      </c>
      <c r="E588" s="3">
        <v>300</v>
      </c>
      <c r="F588" s="4">
        <v>43893</v>
      </c>
      <c r="G588" s="2" t="s">
        <v>10</v>
      </c>
    </row>
    <row r="589" spans="1:7" x14ac:dyDescent="0.35">
      <c r="A589" s="2">
        <v>588</v>
      </c>
      <c r="B589" t="s">
        <v>14</v>
      </c>
      <c r="C589" t="s">
        <v>12</v>
      </c>
      <c r="D589" t="s">
        <v>13</v>
      </c>
      <c r="E589" s="3">
        <v>350</v>
      </c>
      <c r="F589" s="4">
        <v>44038</v>
      </c>
      <c r="G589" s="2" t="s">
        <v>10</v>
      </c>
    </row>
    <row r="590" spans="1:7" x14ac:dyDescent="0.35">
      <c r="A590" s="2">
        <v>589</v>
      </c>
      <c r="B590" t="s">
        <v>16</v>
      </c>
      <c r="C590" t="s">
        <v>15</v>
      </c>
      <c r="D590" t="s">
        <v>13</v>
      </c>
      <c r="E590" s="3">
        <v>300</v>
      </c>
      <c r="F590" s="4">
        <v>44442</v>
      </c>
      <c r="G590" s="2" t="s">
        <v>10</v>
      </c>
    </row>
    <row r="591" spans="1:7" x14ac:dyDescent="0.35">
      <c r="A591" s="2">
        <v>590</v>
      </c>
      <c r="B591" t="s">
        <v>18</v>
      </c>
      <c r="C591" t="s">
        <v>17</v>
      </c>
      <c r="D591" t="s">
        <v>13</v>
      </c>
      <c r="E591" s="3">
        <v>120</v>
      </c>
      <c r="F591" s="4">
        <v>43588</v>
      </c>
      <c r="G591" s="2" t="s">
        <v>10</v>
      </c>
    </row>
    <row r="592" spans="1:7" x14ac:dyDescent="0.35">
      <c r="A592" s="2">
        <v>591</v>
      </c>
      <c r="B592" t="s">
        <v>20</v>
      </c>
      <c r="C592" t="s">
        <v>21</v>
      </c>
      <c r="D592" t="s">
        <v>22</v>
      </c>
      <c r="E592" s="3">
        <v>150</v>
      </c>
      <c r="F592" s="4">
        <v>43872</v>
      </c>
      <c r="G592" s="2" t="s">
        <v>10</v>
      </c>
    </row>
    <row r="593" spans="1:7" x14ac:dyDescent="0.35">
      <c r="A593" s="2">
        <v>592</v>
      </c>
      <c r="B593" t="s">
        <v>7</v>
      </c>
      <c r="C593" t="s">
        <v>23</v>
      </c>
      <c r="D593" t="s">
        <v>22</v>
      </c>
      <c r="E593" s="3">
        <v>1200</v>
      </c>
      <c r="F593" s="4">
        <v>43567</v>
      </c>
      <c r="G593" s="2" t="s">
        <v>10</v>
      </c>
    </row>
    <row r="594" spans="1:7" x14ac:dyDescent="0.35">
      <c r="A594" s="2">
        <v>593</v>
      </c>
      <c r="B594" t="s">
        <v>11</v>
      </c>
      <c r="C594" t="s">
        <v>24</v>
      </c>
      <c r="D594" t="s">
        <v>9</v>
      </c>
      <c r="E594" s="3">
        <v>800</v>
      </c>
      <c r="F594" s="4">
        <v>43923</v>
      </c>
      <c r="G594" s="2" t="s">
        <v>10</v>
      </c>
    </row>
    <row r="595" spans="1:7" x14ac:dyDescent="0.35">
      <c r="A595" s="2">
        <v>594</v>
      </c>
      <c r="B595" t="s">
        <v>14</v>
      </c>
      <c r="C595" t="s">
        <v>25</v>
      </c>
      <c r="D595" t="s">
        <v>9</v>
      </c>
      <c r="E595" s="3">
        <v>750</v>
      </c>
      <c r="F595" s="4">
        <v>44502</v>
      </c>
      <c r="G595" s="2" t="s">
        <v>10</v>
      </c>
    </row>
    <row r="596" spans="1:7" x14ac:dyDescent="0.35">
      <c r="A596" s="2">
        <v>595</v>
      </c>
      <c r="B596" t="s">
        <v>20</v>
      </c>
      <c r="C596" t="s">
        <v>24</v>
      </c>
      <c r="D596" t="s">
        <v>9</v>
      </c>
      <c r="E596" s="3">
        <v>4500</v>
      </c>
      <c r="F596" s="4">
        <v>44184</v>
      </c>
      <c r="G596" s="2" t="s">
        <v>10</v>
      </c>
    </row>
    <row r="597" spans="1:7" x14ac:dyDescent="0.35">
      <c r="A597" s="2">
        <v>596</v>
      </c>
      <c r="B597" t="s">
        <v>7</v>
      </c>
      <c r="C597" t="s">
        <v>25</v>
      </c>
      <c r="D597" t="s">
        <v>9</v>
      </c>
      <c r="E597" s="3">
        <v>500</v>
      </c>
      <c r="F597" s="4">
        <v>43853</v>
      </c>
      <c r="G597" s="2" t="s">
        <v>10</v>
      </c>
    </row>
    <row r="598" spans="1:7" x14ac:dyDescent="0.35">
      <c r="A598" s="2">
        <v>597</v>
      </c>
      <c r="B598" t="s">
        <v>11</v>
      </c>
      <c r="C598" t="s">
        <v>27</v>
      </c>
      <c r="D598" t="s">
        <v>22</v>
      </c>
      <c r="E598" s="3">
        <v>750</v>
      </c>
      <c r="F598" s="4">
        <v>43734</v>
      </c>
      <c r="G598" s="2" t="s">
        <v>10</v>
      </c>
    </row>
    <row r="599" spans="1:7" x14ac:dyDescent="0.35">
      <c r="A599" s="2">
        <v>598</v>
      </c>
      <c r="B599" t="s">
        <v>14</v>
      </c>
      <c r="C599" t="s">
        <v>19</v>
      </c>
      <c r="D599" t="s">
        <v>9</v>
      </c>
      <c r="E599" s="3">
        <v>950</v>
      </c>
      <c r="F599" s="4">
        <v>44347</v>
      </c>
      <c r="G599" s="2" t="s">
        <v>10</v>
      </c>
    </row>
    <row r="600" spans="1:7" x14ac:dyDescent="0.35">
      <c r="A600" s="2">
        <v>599</v>
      </c>
      <c r="B600" t="s">
        <v>16</v>
      </c>
      <c r="C600" t="s">
        <v>8</v>
      </c>
      <c r="D600" t="s">
        <v>9</v>
      </c>
      <c r="E600" s="3">
        <v>680</v>
      </c>
      <c r="F600" s="4">
        <v>44559</v>
      </c>
      <c r="G600" s="2" t="s">
        <v>10</v>
      </c>
    </row>
    <row r="601" spans="1:7" x14ac:dyDescent="0.35">
      <c r="A601" s="2">
        <v>600</v>
      </c>
      <c r="B601" t="s">
        <v>18</v>
      </c>
      <c r="C601" t="s">
        <v>12</v>
      </c>
      <c r="D601" t="s">
        <v>13</v>
      </c>
      <c r="E601" s="3">
        <v>950</v>
      </c>
      <c r="F601" s="4">
        <v>44258</v>
      </c>
      <c r="G601" s="2" t="s">
        <v>10</v>
      </c>
    </row>
    <row r="602" spans="1:7" x14ac:dyDescent="0.35">
      <c r="A602" s="2">
        <v>601</v>
      </c>
      <c r="B602" t="s">
        <v>20</v>
      </c>
      <c r="C602" t="s">
        <v>15</v>
      </c>
      <c r="D602" t="s">
        <v>13</v>
      </c>
      <c r="E602" s="3">
        <v>1500</v>
      </c>
      <c r="F602" s="4">
        <v>44354</v>
      </c>
      <c r="G602" s="2" t="s">
        <v>10</v>
      </c>
    </row>
    <row r="603" spans="1:7" x14ac:dyDescent="0.35">
      <c r="A603" s="2">
        <v>602</v>
      </c>
      <c r="B603" t="s">
        <v>7</v>
      </c>
      <c r="C603" t="s">
        <v>17</v>
      </c>
      <c r="D603" t="s">
        <v>13</v>
      </c>
      <c r="E603" s="3">
        <v>5000</v>
      </c>
      <c r="F603" s="4">
        <v>43542</v>
      </c>
      <c r="G603" s="2" t="s">
        <v>10</v>
      </c>
    </row>
    <row r="604" spans="1:7" x14ac:dyDescent="0.35">
      <c r="A604" s="2">
        <v>603</v>
      </c>
      <c r="B604" t="s">
        <v>11</v>
      </c>
      <c r="C604" t="s">
        <v>21</v>
      </c>
      <c r="D604" t="s">
        <v>22</v>
      </c>
      <c r="E604" s="3">
        <v>6500</v>
      </c>
      <c r="F604" s="4">
        <v>43504</v>
      </c>
      <c r="G604" s="2" t="s">
        <v>26</v>
      </c>
    </row>
    <row r="605" spans="1:7" x14ac:dyDescent="0.35">
      <c r="A605" s="2">
        <v>604</v>
      </c>
      <c r="B605" t="s">
        <v>14</v>
      </c>
      <c r="C605" t="s">
        <v>23</v>
      </c>
      <c r="D605" t="s">
        <v>22</v>
      </c>
      <c r="E605" s="3">
        <v>8500</v>
      </c>
      <c r="F605" s="4">
        <v>44206</v>
      </c>
      <c r="G605" s="2" t="s">
        <v>26</v>
      </c>
    </row>
    <row r="606" spans="1:7" x14ac:dyDescent="0.35">
      <c r="A606" s="2">
        <v>605</v>
      </c>
      <c r="B606" t="s">
        <v>16</v>
      </c>
      <c r="C606" t="s">
        <v>24</v>
      </c>
      <c r="D606" t="s">
        <v>9</v>
      </c>
      <c r="E606" s="3">
        <v>1200</v>
      </c>
      <c r="F606" s="4">
        <v>44332</v>
      </c>
      <c r="G606" s="2" t="s">
        <v>26</v>
      </c>
    </row>
    <row r="607" spans="1:7" x14ac:dyDescent="0.35">
      <c r="A607" s="2">
        <v>606</v>
      </c>
      <c r="B607" t="s">
        <v>11</v>
      </c>
      <c r="C607" t="s">
        <v>8</v>
      </c>
      <c r="D607" t="s">
        <v>9</v>
      </c>
      <c r="E607" s="3">
        <v>300</v>
      </c>
      <c r="F607" s="4">
        <v>43592</v>
      </c>
      <c r="G607" s="2" t="s">
        <v>26</v>
      </c>
    </row>
    <row r="608" spans="1:7" x14ac:dyDescent="0.35">
      <c r="A608" s="2">
        <v>607</v>
      </c>
      <c r="B608" t="s">
        <v>14</v>
      </c>
      <c r="C608" t="s">
        <v>12</v>
      </c>
      <c r="D608" t="s">
        <v>13</v>
      </c>
      <c r="E608" s="3">
        <v>200</v>
      </c>
      <c r="F608" s="4">
        <v>43924</v>
      </c>
      <c r="G608" s="2" t="s">
        <v>26</v>
      </c>
    </row>
    <row r="609" spans="1:7" x14ac:dyDescent="0.35">
      <c r="A609" s="2">
        <v>608</v>
      </c>
      <c r="B609" t="s">
        <v>16</v>
      </c>
      <c r="C609" t="s">
        <v>15</v>
      </c>
      <c r="D609" t="s">
        <v>13</v>
      </c>
      <c r="E609" s="3">
        <v>150</v>
      </c>
      <c r="F609" s="4">
        <v>43497</v>
      </c>
      <c r="G609" s="2" t="s">
        <v>26</v>
      </c>
    </row>
    <row r="610" spans="1:7" x14ac:dyDescent="0.35">
      <c r="A610" s="2">
        <v>609</v>
      </c>
      <c r="B610" t="s">
        <v>18</v>
      </c>
      <c r="C610" t="s">
        <v>17</v>
      </c>
      <c r="D610" t="s">
        <v>13</v>
      </c>
      <c r="E610" s="3">
        <v>120</v>
      </c>
      <c r="F610" s="4">
        <v>43874</v>
      </c>
      <c r="G610" s="2" t="s">
        <v>26</v>
      </c>
    </row>
    <row r="611" spans="1:7" x14ac:dyDescent="0.35">
      <c r="A611" s="2">
        <v>610</v>
      </c>
      <c r="B611" t="s">
        <v>20</v>
      </c>
      <c r="C611" t="s">
        <v>19</v>
      </c>
      <c r="D611" t="s">
        <v>9</v>
      </c>
      <c r="E611" s="3">
        <v>300</v>
      </c>
      <c r="F611" s="4">
        <v>43872</v>
      </c>
      <c r="G611" s="2" t="s">
        <v>10</v>
      </c>
    </row>
    <row r="612" spans="1:7" x14ac:dyDescent="0.35">
      <c r="A612" s="2">
        <v>611</v>
      </c>
      <c r="B612" t="s">
        <v>7</v>
      </c>
      <c r="C612" t="s">
        <v>8</v>
      </c>
      <c r="D612" t="s">
        <v>9</v>
      </c>
      <c r="E612" s="3">
        <v>350</v>
      </c>
      <c r="F612" s="4">
        <v>43742</v>
      </c>
      <c r="G612" s="2" t="s">
        <v>10</v>
      </c>
    </row>
    <row r="613" spans="1:7" x14ac:dyDescent="0.35">
      <c r="A613" s="2">
        <v>612</v>
      </c>
      <c r="B613" t="s">
        <v>11</v>
      </c>
      <c r="C613" t="s">
        <v>12</v>
      </c>
      <c r="D613" t="s">
        <v>13</v>
      </c>
      <c r="E613" s="3">
        <v>300</v>
      </c>
      <c r="F613" s="4">
        <v>44184</v>
      </c>
      <c r="G613" s="2" t="s">
        <v>10</v>
      </c>
    </row>
    <row r="614" spans="1:7" x14ac:dyDescent="0.35">
      <c r="A614" s="2">
        <v>613</v>
      </c>
      <c r="B614" t="s">
        <v>14</v>
      </c>
      <c r="C614" t="s">
        <v>12</v>
      </c>
      <c r="D614" t="s">
        <v>13</v>
      </c>
      <c r="E614" s="3">
        <v>120</v>
      </c>
      <c r="F614" s="4">
        <v>44302</v>
      </c>
      <c r="G614" s="2" t="s">
        <v>10</v>
      </c>
    </row>
    <row r="615" spans="1:7" x14ac:dyDescent="0.35">
      <c r="A615" s="2">
        <v>614</v>
      </c>
      <c r="B615" t="s">
        <v>20</v>
      </c>
      <c r="C615" t="s">
        <v>15</v>
      </c>
      <c r="D615" t="s">
        <v>13</v>
      </c>
      <c r="E615" s="3">
        <v>150</v>
      </c>
      <c r="F615" s="4">
        <v>43845</v>
      </c>
      <c r="G615" s="2" t="s">
        <v>10</v>
      </c>
    </row>
    <row r="616" spans="1:7" x14ac:dyDescent="0.35">
      <c r="A616" s="2">
        <v>615</v>
      </c>
      <c r="B616" t="s">
        <v>7</v>
      </c>
      <c r="C616" t="s">
        <v>17</v>
      </c>
      <c r="D616" t="s">
        <v>13</v>
      </c>
      <c r="E616" s="3">
        <v>8500</v>
      </c>
      <c r="F616" s="4">
        <v>44036</v>
      </c>
      <c r="G616" s="2" t="s">
        <v>10</v>
      </c>
    </row>
    <row r="617" spans="1:7" x14ac:dyDescent="0.35">
      <c r="A617" s="2">
        <v>616</v>
      </c>
      <c r="B617" t="s">
        <v>11</v>
      </c>
      <c r="C617" t="s">
        <v>21</v>
      </c>
      <c r="D617" t="s">
        <v>22</v>
      </c>
      <c r="E617" s="3">
        <v>1200</v>
      </c>
      <c r="F617" s="4">
        <v>43820</v>
      </c>
      <c r="G617" s="2" t="s">
        <v>10</v>
      </c>
    </row>
    <row r="618" spans="1:7" x14ac:dyDescent="0.35">
      <c r="A618" s="2">
        <v>617</v>
      </c>
      <c r="B618" t="s">
        <v>14</v>
      </c>
      <c r="C618" t="s">
        <v>23</v>
      </c>
      <c r="D618" t="s">
        <v>22</v>
      </c>
      <c r="E618" s="3">
        <v>300</v>
      </c>
      <c r="F618" s="4">
        <v>44012</v>
      </c>
      <c r="G618" s="2" t="s">
        <v>26</v>
      </c>
    </row>
    <row r="619" spans="1:7" x14ac:dyDescent="0.35">
      <c r="A619" s="2">
        <v>618</v>
      </c>
      <c r="B619" t="s">
        <v>16</v>
      </c>
      <c r="C619" t="s">
        <v>24</v>
      </c>
      <c r="D619" t="s">
        <v>9</v>
      </c>
      <c r="E619" s="3">
        <v>200</v>
      </c>
      <c r="F619" s="4">
        <v>44302</v>
      </c>
      <c r="G619" s="2" t="s">
        <v>26</v>
      </c>
    </row>
    <row r="620" spans="1:7" x14ac:dyDescent="0.35">
      <c r="A620" s="2">
        <v>619</v>
      </c>
      <c r="B620" t="s">
        <v>18</v>
      </c>
      <c r="C620" t="s">
        <v>25</v>
      </c>
      <c r="D620" t="s">
        <v>9</v>
      </c>
      <c r="E620" s="3">
        <v>150</v>
      </c>
      <c r="F620" s="4">
        <v>44008</v>
      </c>
      <c r="G620" s="2" t="s">
        <v>26</v>
      </c>
    </row>
    <row r="621" spans="1:7" x14ac:dyDescent="0.35">
      <c r="A621" s="2">
        <v>620</v>
      </c>
      <c r="B621" t="s">
        <v>20</v>
      </c>
      <c r="C621" t="s">
        <v>24</v>
      </c>
      <c r="D621" t="s">
        <v>9</v>
      </c>
      <c r="E621" s="3">
        <v>120</v>
      </c>
      <c r="F621" s="4">
        <v>44214</v>
      </c>
      <c r="G621" s="2" t="s">
        <v>26</v>
      </c>
    </row>
    <row r="622" spans="1:7" x14ac:dyDescent="0.35">
      <c r="A622" s="2">
        <v>621</v>
      </c>
      <c r="B622" t="s">
        <v>7</v>
      </c>
      <c r="C622" t="s">
        <v>25</v>
      </c>
      <c r="D622" t="s">
        <v>9</v>
      </c>
      <c r="E622" s="3">
        <v>300</v>
      </c>
      <c r="F622" s="4">
        <v>43604</v>
      </c>
      <c r="G622" s="2" t="s">
        <v>26</v>
      </c>
    </row>
    <row r="623" spans="1:7" x14ac:dyDescent="0.35">
      <c r="A623" s="2">
        <v>622</v>
      </c>
      <c r="B623" t="s">
        <v>11</v>
      </c>
      <c r="C623" t="s">
        <v>27</v>
      </c>
      <c r="D623" t="s">
        <v>22</v>
      </c>
      <c r="E623" s="3">
        <v>350</v>
      </c>
      <c r="F623" s="4">
        <v>44132</v>
      </c>
      <c r="G623" s="2" t="s">
        <v>26</v>
      </c>
    </row>
    <row r="624" spans="1:7" x14ac:dyDescent="0.35">
      <c r="A624" s="2">
        <v>623</v>
      </c>
      <c r="B624" t="s">
        <v>14</v>
      </c>
      <c r="C624" t="s">
        <v>19</v>
      </c>
      <c r="D624" t="s">
        <v>9</v>
      </c>
      <c r="E624" s="3">
        <v>300</v>
      </c>
      <c r="F624" s="4">
        <v>44210</v>
      </c>
      <c r="G624" s="2" t="s">
        <v>10</v>
      </c>
    </row>
    <row r="625" spans="1:7" x14ac:dyDescent="0.35">
      <c r="A625" s="2">
        <v>624</v>
      </c>
      <c r="B625" t="s">
        <v>16</v>
      </c>
      <c r="C625" t="s">
        <v>8</v>
      </c>
      <c r="D625" t="s">
        <v>9</v>
      </c>
      <c r="E625" s="3">
        <v>120</v>
      </c>
      <c r="F625" s="4">
        <v>44102</v>
      </c>
      <c r="G625" s="2" t="s">
        <v>10</v>
      </c>
    </row>
    <row r="626" spans="1:7" x14ac:dyDescent="0.35">
      <c r="A626" s="2">
        <v>625</v>
      </c>
      <c r="B626" t="s">
        <v>18</v>
      </c>
      <c r="C626" t="s">
        <v>12</v>
      </c>
      <c r="D626" t="s">
        <v>13</v>
      </c>
      <c r="E626" s="3">
        <v>150</v>
      </c>
      <c r="F626" s="4">
        <v>43591</v>
      </c>
      <c r="G626" s="2" t="s">
        <v>10</v>
      </c>
    </row>
    <row r="627" spans="1:7" x14ac:dyDescent="0.35">
      <c r="A627" s="2">
        <v>626</v>
      </c>
      <c r="B627" t="s">
        <v>20</v>
      </c>
      <c r="C627" t="s">
        <v>15</v>
      </c>
      <c r="D627" t="s">
        <v>13</v>
      </c>
      <c r="E627" s="3">
        <v>1200</v>
      </c>
      <c r="F627" s="4">
        <v>44067</v>
      </c>
      <c r="G627" s="2" t="s">
        <v>10</v>
      </c>
    </row>
    <row r="628" spans="1:7" x14ac:dyDescent="0.35">
      <c r="A628" s="2">
        <v>627</v>
      </c>
      <c r="B628" t="s">
        <v>7</v>
      </c>
      <c r="C628" t="s">
        <v>17</v>
      </c>
      <c r="D628" t="s">
        <v>13</v>
      </c>
      <c r="E628" s="3">
        <v>800</v>
      </c>
      <c r="F628" s="4">
        <v>43473</v>
      </c>
      <c r="G628" s="2" t="s">
        <v>10</v>
      </c>
    </row>
    <row r="629" spans="1:7" x14ac:dyDescent="0.35">
      <c r="A629" s="2">
        <v>628</v>
      </c>
      <c r="B629" t="s">
        <v>11</v>
      </c>
      <c r="C629" t="s">
        <v>21</v>
      </c>
      <c r="D629" t="s">
        <v>22</v>
      </c>
      <c r="E629" s="3">
        <v>750</v>
      </c>
      <c r="F629" s="4">
        <v>44060</v>
      </c>
      <c r="G629" s="2" t="s">
        <v>10</v>
      </c>
    </row>
    <row r="630" spans="1:7" x14ac:dyDescent="0.35">
      <c r="A630" s="2">
        <v>629</v>
      </c>
      <c r="B630" t="s">
        <v>14</v>
      </c>
      <c r="C630" t="s">
        <v>23</v>
      </c>
      <c r="D630" t="s">
        <v>22</v>
      </c>
      <c r="E630" s="3">
        <v>4500</v>
      </c>
      <c r="F630" s="4">
        <v>43683</v>
      </c>
      <c r="G630" s="2" t="s">
        <v>10</v>
      </c>
    </row>
    <row r="631" spans="1:7" x14ac:dyDescent="0.35">
      <c r="A631" s="2">
        <v>630</v>
      </c>
      <c r="B631" t="s">
        <v>16</v>
      </c>
      <c r="C631" t="s">
        <v>24</v>
      </c>
      <c r="D631" t="s">
        <v>9</v>
      </c>
      <c r="E631" s="3">
        <v>500</v>
      </c>
      <c r="F631" s="4">
        <v>44247</v>
      </c>
      <c r="G631" s="2" t="s">
        <v>10</v>
      </c>
    </row>
    <row r="632" spans="1:7" x14ac:dyDescent="0.35">
      <c r="A632" s="2">
        <v>631</v>
      </c>
      <c r="B632" t="s">
        <v>18</v>
      </c>
      <c r="C632" t="s">
        <v>8</v>
      </c>
      <c r="D632" t="s">
        <v>9</v>
      </c>
      <c r="E632" s="3">
        <v>750</v>
      </c>
      <c r="F632" s="4">
        <v>44451</v>
      </c>
      <c r="G632" s="2" t="s">
        <v>10</v>
      </c>
    </row>
    <row r="633" spans="1:7" x14ac:dyDescent="0.35">
      <c r="A633" s="2">
        <v>632</v>
      </c>
      <c r="B633" t="s">
        <v>20</v>
      </c>
      <c r="C633" t="s">
        <v>12</v>
      </c>
      <c r="D633" t="s">
        <v>13</v>
      </c>
      <c r="E633" s="3">
        <v>950</v>
      </c>
      <c r="F633" s="4">
        <v>43853</v>
      </c>
      <c r="G633" s="2" t="s">
        <v>10</v>
      </c>
    </row>
    <row r="634" spans="1:7" x14ac:dyDescent="0.35">
      <c r="A634" s="2">
        <v>633</v>
      </c>
      <c r="B634" t="s">
        <v>7</v>
      </c>
      <c r="C634" t="s">
        <v>12</v>
      </c>
      <c r="D634" t="s">
        <v>13</v>
      </c>
      <c r="E634" s="3">
        <v>680</v>
      </c>
      <c r="F634" s="4">
        <v>43476</v>
      </c>
      <c r="G634" s="2" t="s">
        <v>10</v>
      </c>
    </row>
    <row r="635" spans="1:7" x14ac:dyDescent="0.35">
      <c r="A635" s="2">
        <v>634</v>
      </c>
      <c r="B635" t="s">
        <v>11</v>
      </c>
      <c r="C635" t="s">
        <v>15</v>
      </c>
      <c r="D635" t="s">
        <v>13</v>
      </c>
      <c r="E635" s="3">
        <v>120</v>
      </c>
      <c r="F635" s="4">
        <v>43577</v>
      </c>
      <c r="G635" s="2" t="s">
        <v>10</v>
      </c>
    </row>
    <row r="636" spans="1:7" x14ac:dyDescent="0.35">
      <c r="A636" s="2">
        <v>635</v>
      </c>
      <c r="B636" t="s">
        <v>14</v>
      </c>
      <c r="C636" t="s">
        <v>17</v>
      </c>
      <c r="D636" t="s">
        <v>13</v>
      </c>
      <c r="E636" s="3">
        <v>150</v>
      </c>
      <c r="F636" s="4">
        <v>44359</v>
      </c>
      <c r="G636" s="2" t="s">
        <v>10</v>
      </c>
    </row>
    <row r="637" spans="1:7" x14ac:dyDescent="0.35">
      <c r="A637" s="2">
        <v>636</v>
      </c>
      <c r="B637" t="s">
        <v>16</v>
      </c>
      <c r="C637" t="s">
        <v>21</v>
      </c>
      <c r="D637" t="s">
        <v>22</v>
      </c>
      <c r="E637" s="3">
        <v>1200</v>
      </c>
      <c r="F637" s="4">
        <v>43870</v>
      </c>
      <c r="G637" s="2" t="s">
        <v>10</v>
      </c>
    </row>
    <row r="638" spans="1:7" x14ac:dyDescent="0.35">
      <c r="A638" s="2">
        <v>637</v>
      </c>
      <c r="B638" t="s">
        <v>18</v>
      </c>
      <c r="C638" t="s">
        <v>23</v>
      </c>
      <c r="D638" t="s">
        <v>22</v>
      </c>
      <c r="E638" s="3">
        <v>800</v>
      </c>
      <c r="F638" s="4">
        <v>44146</v>
      </c>
      <c r="G638" s="2" t="s">
        <v>10</v>
      </c>
    </row>
    <row r="639" spans="1:7" x14ac:dyDescent="0.35">
      <c r="A639" s="2">
        <v>638</v>
      </c>
      <c r="B639" t="s">
        <v>20</v>
      </c>
      <c r="C639" t="s">
        <v>24</v>
      </c>
      <c r="D639" t="s">
        <v>9</v>
      </c>
      <c r="E639" s="3">
        <v>750</v>
      </c>
      <c r="F639" s="4">
        <v>44370</v>
      </c>
      <c r="G639" s="2" t="s">
        <v>10</v>
      </c>
    </row>
    <row r="640" spans="1:7" x14ac:dyDescent="0.35">
      <c r="A640" s="2">
        <v>639</v>
      </c>
      <c r="B640" t="s">
        <v>7</v>
      </c>
      <c r="C640" t="s">
        <v>25</v>
      </c>
      <c r="D640" t="s">
        <v>9</v>
      </c>
      <c r="E640" s="3">
        <v>4500</v>
      </c>
      <c r="F640" s="4">
        <v>43510</v>
      </c>
      <c r="G640" s="2" t="s">
        <v>10</v>
      </c>
    </row>
    <row r="641" spans="1:7" x14ac:dyDescent="0.35">
      <c r="A641" s="2">
        <v>640</v>
      </c>
      <c r="B641" t="s">
        <v>11</v>
      </c>
      <c r="C641" t="s">
        <v>24</v>
      </c>
      <c r="D641" t="s">
        <v>9</v>
      </c>
      <c r="E641" s="3">
        <v>500</v>
      </c>
      <c r="F641" s="4">
        <v>44251</v>
      </c>
      <c r="G641" s="2" t="s">
        <v>10</v>
      </c>
    </row>
    <row r="642" spans="1:7" x14ac:dyDescent="0.35">
      <c r="A642" s="2">
        <v>641</v>
      </c>
      <c r="B642" t="s">
        <v>14</v>
      </c>
      <c r="C642" t="s">
        <v>25</v>
      </c>
      <c r="D642" t="s">
        <v>9</v>
      </c>
      <c r="E642" s="3">
        <v>750</v>
      </c>
      <c r="F642" s="4">
        <v>44433</v>
      </c>
      <c r="G642" s="2" t="s">
        <v>10</v>
      </c>
    </row>
    <row r="643" spans="1:7" x14ac:dyDescent="0.35">
      <c r="A643" s="2">
        <v>642</v>
      </c>
      <c r="B643" t="s">
        <v>16</v>
      </c>
      <c r="C643" t="s">
        <v>27</v>
      </c>
      <c r="D643" t="s">
        <v>22</v>
      </c>
      <c r="E643" s="3">
        <v>950</v>
      </c>
      <c r="F643" s="4">
        <v>43573</v>
      </c>
      <c r="G643" s="2" t="s">
        <v>10</v>
      </c>
    </row>
    <row r="644" spans="1:7" x14ac:dyDescent="0.35">
      <c r="A644" s="2">
        <v>643</v>
      </c>
      <c r="B644" t="s">
        <v>18</v>
      </c>
      <c r="C644" t="s">
        <v>19</v>
      </c>
      <c r="D644" t="s">
        <v>9</v>
      </c>
      <c r="E644" s="3">
        <v>680</v>
      </c>
      <c r="F644" s="4">
        <v>43861</v>
      </c>
      <c r="G644" s="2" t="s">
        <v>10</v>
      </c>
    </row>
    <row r="645" spans="1:7" x14ac:dyDescent="0.35">
      <c r="A645" s="2">
        <v>644</v>
      </c>
      <c r="B645" t="s">
        <v>20</v>
      </c>
      <c r="C645" t="s">
        <v>8</v>
      </c>
      <c r="D645" t="s">
        <v>9</v>
      </c>
      <c r="E645" s="3">
        <v>950</v>
      </c>
      <c r="F645" s="4">
        <v>44320</v>
      </c>
      <c r="G645" s="2" t="s">
        <v>26</v>
      </c>
    </row>
    <row r="646" spans="1:7" x14ac:dyDescent="0.35">
      <c r="A646" s="2">
        <v>645</v>
      </c>
      <c r="B646" t="s">
        <v>7</v>
      </c>
      <c r="C646" t="s">
        <v>12</v>
      </c>
      <c r="D646" t="s">
        <v>13</v>
      </c>
      <c r="E646" s="3">
        <v>1500</v>
      </c>
      <c r="F646" s="4">
        <v>44402</v>
      </c>
      <c r="G646" s="2" t="s">
        <v>26</v>
      </c>
    </row>
    <row r="647" spans="1:7" x14ac:dyDescent="0.35">
      <c r="A647" s="2">
        <v>646</v>
      </c>
      <c r="B647" t="s">
        <v>11</v>
      </c>
      <c r="C647" t="s">
        <v>15</v>
      </c>
      <c r="D647" t="s">
        <v>13</v>
      </c>
      <c r="E647" s="3">
        <v>5000</v>
      </c>
      <c r="F647" s="4">
        <v>44431</v>
      </c>
      <c r="G647" s="2" t="s">
        <v>26</v>
      </c>
    </row>
    <row r="648" spans="1:7" x14ac:dyDescent="0.35">
      <c r="A648" s="2">
        <v>647</v>
      </c>
      <c r="B648" t="s">
        <v>14</v>
      </c>
      <c r="C648" t="s">
        <v>17</v>
      </c>
      <c r="D648" t="s">
        <v>13</v>
      </c>
      <c r="E648" s="3">
        <v>6500</v>
      </c>
      <c r="F648" s="4">
        <v>43608</v>
      </c>
      <c r="G648" s="2" t="s">
        <v>26</v>
      </c>
    </row>
    <row r="649" spans="1:7" x14ac:dyDescent="0.35">
      <c r="A649" s="2">
        <v>648</v>
      </c>
      <c r="B649" t="s">
        <v>20</v>
      </c>
      <c r="C649" t="s">
        <v>21</v>
      </c>
      <c r="D649" t="s">
        <v>22</v>
      </c>
      <c r="E649" s="3">
        <v>8500</v>
      </c>
      <c r="F649" s="4">
        <v>44172</v>
      </c>
      <c r="G649" s="2" t="s">
        <v>26</v>
      </c>
    </row>
    <row r="650" spans="1:7" x14ac:dyDescent="0.35">
      <c r="A650" s="2">
        <v>649</v>
      </c>
      <c r="B650" t="s">
        <v>7</v>
      </c>
      <c r="C650" t="s">
        <v>23</v>
      </c>
      <c r="D650" t="s">
        <v>22</v>
      </c>
      <c r="E650" s="3">
        <v>1200</v>
      </c>
      <c r="F650" s="4">
        <v>43468</v>
      </c>
      <c r="G650" s="2" t="s">
        <v>26</v>
      </c>
    </row>
    <row r="651" spans="1:7" x14ac:dyDescent="0.35">
      <c r="A651" s="2">
        <v>650</v>
      </c>
      <c r="B651" t="s">
        <v>11</v>
      </c>
      <c r="C651" t="s">
        <v>24</v>
      </c>
      <c r="D651" t="s">
        <v>9</v>
      </c>
      <c r="E651" s="3">
        <v>300</v>
      </c>
      <c r="F651" s="4">
        <v>43640</v>
      </c>
      <c r="G651" s="2" t="s">
        <v>26</v>
      </c>
    </row>
    <row r="652" spans="1:7" x14ac:dyDescent="0.35">
      <c r="A652" s="2">
        <v>651</v>
      </c>
      <c r="B652" t="s">
        <v>14</v>
      </c>
      <c r="C652" t="s">
        <v>8</v>
      </c>
      <c r="D652" t="s">
        <v>9</v>
      </c>
      <c r="E652" s="3">
        <v>200</v>
      </c>
      <c r="F652" s="4">
        <v>43616</v>
      </c>
      <c r="G652" s="2" t="s">
        <v>10</v>
      </c>
    </row>
    <row r="653" spans="1:7" x14ac:dyDescent="0.35">
      <c r="A653" s="2">
        <v>652</v>
      </c>
      <c r="B653" t="s">
        <v>16</v>
      </c>
      <c r="C653" t="s">
        <v>24</v>
      </c>
      <c r="D653" t="s">
        <v>9</v>
      </c>
      <c r="E653" s="3">
        <v>150</v>
      </c>
      <c r="F653" s="4">
        <v>43789</v>
      </c>
      <c r="G653" s="2" t="s">
        <v>10</v>
      </c>
    </row>
    <row r="654" spans="1:7" x14ac:dyDescent="0.35">
      <c r="A654" s="2">
        <v>653</v>
      </c>
      <c r="B654" t="s">
        <v>18</v>
      </c>
      <c r="C654" t="s">
        <v>25</v>
      </c>
      <c r="D654" t="s">
        <v>9</v>
      </c>
      <c r="E654" s="3">
        <v>120</v>
      </c>
      <c r="F654" s="4">
        <v>44334</v>
      </c>
      <c r="G654" s="2" t="s">
        <v>10</v>
      </c>
    </row>
    <row r="655" spans="1:7" x14ac:dyDescent="0.35">
      <c r="A655" s="2">
        <v>654</v>
      </c>
      <c r="B655" t="s">
        <v>20</v>
      </c>
      <c r="C655" t="s">
        <v>24</v>
      </c>
      <c r="D655" t="s">
        <v>9</v>
      </c>
      <c r="E655" s="3">
        <v>300</v>
      </c>
      <c r="F655" s="4">
        <v>44224</v>
      </c>
      <c r="G655" s="2" t="s">
        <v>10</v>
      </c>
    </row>
    <row r="656" spans="1:7" x14ac:dyDescent="0.35">
      <c r="A656" s="2">
        <v>655</v>
      </c>
      <c r="B656" t="s">
        <v>7</v>
      </c>
      <c r="C656" t="s">
        <v>25</v>
      </c>
      <c r="D656" t="s">
        <v>9</v>
      </c>
      <c r="E656" s="3">
        <v>350</v>
      </c>
      <c r="F656" s="4">
        <v>43961</v>
      </c>
      <c r="G656" s="2" t="s">
        <v>10</v>
      </c>
    </row>
    <row r="657" spans="1:7" x14ac:dyDescent="0.35">
      <c r="A657" s="2">
        <v>656</v>
      </c>
      <c r="B657" t="s">
        <v>11</v>
      </c>
      <c r="C657" t="s">
        <v>27</v>
      </c>
      <c r="D657" t="s">
        <v>22</v>
      </c>
      <c r="E657" s="3">
        <v>300</v>
      </c>
      <c r="F657" s="4">
        <v>43947</v>
      </c>
      <c r="G657" s="2" t="s">
        <v>10</v>
      </c>
    </row>
    <row r="658" spans="1:7" x14ac:dyDescent="0.35">
      <c r="A658" s="2">
        <v>657</v>
      </c>
      <c r="B658" t="s">
        <v>14</v>
      </c>
      <c r="C658" t="s">
        <v>24</v>
      </c>
      <c r="D658" t="s">
        <v>9</v>
      </c>
      <c r="E658" s="3">
        <v>120</v>
      </c>
      <c r="F658" s="4">
        <v>44049</v>
      </c>
      <c r="G658" s="2" t="s">
        <v>10</v>
      </c>
    </row>
    <row r="659" spans="1:7" x14ac:dyDescent="0.35">
      <c r="A659" s="2">
        <v>658</v>
      </c>
      <c r="B659" t="s">
        <v>16</v>
      </c>
      <c r="C659" t="s">
        <v>8</v>
      </c>
      <c r="D659" t="s">
        <v>9</v>
      </c>
      <c r="E659" s="3">
        <v>150</v>
      </c>
      <c r="F659" s="4">
        <v>43830</v>
      </c>
      <c r="G659" s="2" t="s">
        <v>10</v>
      </c>
    </row>
    <row r="660" spans="1:7" x14ac:dyDescent="0.35">
      <c r="A660" s="2">
        <v>659</v>
      </c>
      <c r="B660" t="s">
        <v>18</v>
      </c>
      <c r="C660" t="s">
        <v>12</v>
      </c>
      <c r="D660" t="s">
        <v>13</v>
      </c>
      <c r="E660" s="3">
        <v>8500</v>
      </c>
      <c r="F660" s="4">
        <v>43723</v>
      </c>
      <c r="G660" s="2" t="s">
        <v>10</v>
      </c>
    </row>
    <row r="661" spans="1:7" x14ac:dyDescent="0.35">
      <c r="A661" s="2">
        <v>660</v>
      </c>
      <c r="B661" t="s">
        <v>20</v>
      </c>
      <c r="C661" t="s">
        <v>12</v>
      </c>
      <c r="D661" t="s">
        <v>13</v>
      </c>
      <c r="E661" s="3">
        <v>1200</v>
      </c>
      <c r="F661" s="4">
        <v>44222</v>
      </c>
      <c r="G661" s="2" t="s">
        <v>10</v>
      </c>
    </row>
    <row r="662" spans="1:7" x14ac:dyDescent="0.35">
      <c r="A662" s="2">
        <v>661</v>
      </c>
      <c r="B662" t="s">
        <v>7</v>
      </c>
      <c r="C662" t="s">
        <v>15</v>
      </c>
      <c r="D662" t="s">
        <v>13</v>
      </c>
      <c r="E662" s="3">
        <v>300</v>
      </c>
      <c r="F662" s="4">
        <v>43835</v>
      </c>
      <c r="G662" s="2" t="s">
        <v>10</v>
      </c>
    </row>
    <row r="663" spans="1:7" x14ac:dyDescent="0.35">
      <c r="A663" s="2">
        <v>662</v>
      </c>
      <c r="B663" t="s">
        <v>11</v>
      </c>
      <c r="C663" t="s">
        <v>17</v>
      </c>
      <c r="D663" t="s">
        <v>13</v>
      </c>
      <c r="E663" s="3">
        <v>200</v>
      </c>
      <c r="F663" s="4">
        <v>44106</v>
      </c>
      <c r="G663" s="2" t="s">
        <v>10</v>
      </c>
    </row>
    <row r="664" spans="1:7" x14ac:dyDescent="0.35">
      <c r="A664" s="2">
        <v>663</v>
      </c>
      <c r="B664" t="s">
        <v>14</v>
      </c>
      <c r="C664" t="s">
        <v>21</v>
      </c>
      <c r="D664" t="s">
        <v>22</v>
      </c>
      <c r="E664" s="3">
        <v>150</v>
      </c>
      <c r="F664" s="4">
        <v>44433</v>
      </c>
      <c r="G664" s="2" t="s">
        <v>10</v>
      </c>
    </row>
    <row r="665" spans="1:7" x14ac:dyDescent="0.35">
      <c r="A665" s="2">
        <v>664</v>
      </c>
      <c r="B665" t="s">
        <v>16</v>
      </c>
      <c r="C665" t="s">
        <v>23</v>
      </c>
      <c r="D665" t="s">
        <v>22</v>
      </c>
      <c r="E665" s="3">
        <v>120</v>
      </c>
      <c r="F665" s="4">
        <v>44142</v>
      </c>
      <c r="G665" s="2" t="s">
        <v>10</v>
      </c>
    </row>
    <row r="666" spans="1:7" x14ac:dyDescent="0.35">
      <c r="A666" s="2">
        <v>665</v>
      </c>
      <c r="B666" t="s">
        <v>18</v>
      </c>
      <c r="C666" t="s">
        <v>24</v>
      </c>
      <c r="D666" t="s">
        <v>9</v>
      </c>
      <c r="E666" s="3">
        <v>300</v>
      </c>
      <c r="F666" s="4">
        <v>44075</v>
      </c>
      <c r="G666" s="2" t="s">
        <v>10</v>
      </c>
    </row>
    <row r="667" spans="1:7" x14ac:dyDescent="0.35">
      <c r="A667" s="2">
        <v>666</v>
      </c>
      <c r="B667" t="s">
        <v>20</v>
      </c>
      <c r="C667" t="s">
        <v>25</v>
      </c>
      <c r="D667" t="s">
        <v>9</v>
      </c>
      <c r="E667" s="3">
        <v>350</v>
      </c>
      <c r="F667" s="4">
        <v>44257</v>
      </c>
      <c r="G667" s="2" t="s">
        <v>10</v>
      </c>
    </row>
    <row r="668" spans="1:7" x14ac:dyDescent="0.35">
      <c r="A668" s="2">
        <v>667</v>
      </c>
      <c r="B668" t="s">
        <v>7</v>
      </c>
      <c r="C668" t="s">
        <v>24</v>
      </c>
      <c r="D668" t="s">
        <v>9</v>
      </c>
      <c r="E668" s="3">
        <v>8500</v>
      </c>
      <c r="F668" s="4">
        <v>44112</v>
      </c>
      <c r="G668" s="2" t="s">
        <v>10</v>
      </c>
    </row>
    <row r="669" spans="1:7" x14ac:dyDescent="0.35">
      <c r="A669" s="2">
        <v>668</v>
      </c>
      <c r="B669" t="s">
        <v>14</v>
      </c>
      <c r="C669" t="s">
        <v>25</v>
      </c>
      <c r="D669" t="s">
        <v>9</v>
      </c>
      <c r="E669" s="3">
        <v>1200</v>
      </c>
      <c r="F669" s="4">
        <v>43517</v>
      </c>
      <c r="G669" s="2" t="s">
        <v>10</v>
      </c>
    </row>
    <row r="670" spans="1:7" x14ac:dyDescent="0.35">
      <c r="A670" s="2">
        <v>669</v>
      </c>
      <c r="B670" t="s">
        <v>16</v>
      </c>
      <c r="C670" t="s">
        <v>27</v>
      </c>
      <c r="D670" t="s">
        <v>22</v>
      </c>
      <c r="E670" s="3">
        <v>300</v>
      </c>
      <c r="F670" s="4">
        <v>43661</v>
      </c>
      <c r="G670" s="2" t="s">
        <v>10</v>
      </c>
    </row>
    <row r="671" spans="1:7" x14ac:dyDescent="0.35">
      <c r="A671" s="2">
        <v>670</v>
      </c>
      <c r="B671" t="s">
        <v>14</v>
      </c>
      <c r="C671" t="s">
        <v>19</v>
      </c>
      <c r="D671" t="s">
        <v>9</v>
      </c>
      <c r="E671" s="3">
        <v>200</v>
      </c>
      <c r="F671" s="4">
        <v>43646</v>
      </c>
      <c r="G671" s="2" t="s">
        <v>10</v>
      </c>
    </row>
    <row r="672" spans="1:7" x14ac:dyDescent="0.35">
      <c r="A672" s="2">
        <v>671</v>
      </c>
      <c r="B672" t="s">
        <v>16</v>
      </c>
      <c r="C672" t="s">
        <v>8</v>
      </c>
      <c r="D672" t="s">
        <v>9</v>
      </c>
      <c r="E672" s="3">
        <v>150</v>
      </c>
      <c r="F672" s="4">
        <v>44376</v>
      </c>
      <c r="G672" s="2" t="s">
        <v>26</v>
      </c>
    </row>
    <row r="673" spans="1:7" x14ac:dyDescent="0.35">
      <c r="A673" s="2">
        <v>672</v>
      </c>
      <c r="B673" t="s">
        <v>18</v>
      </c>
      <c r="C673" t="s">
        <v>12</v>
      </c>
      <c r="D673" t="s">
        <v>13</v>
      </c>
      <c r="E673" s="3">
        <v>120</v>
      </c>
      <c r="F673" s="4">
        <v>44219</v>
      </c>
      <c r="G673" s="2" t="s">
        <v>26</v>
      </c>
    </row>
    <row r="674" spans="1:7" x14ac:dyDescent="0.35">
      <c r="A674" s="2">
        <v>673</v>
      </c>
      <c r="B674" t="s">
        <v>20</v>
      </c>
      <c r="C674" t="s">
        <v>15</v>
      </c>
      <c r="D674" t="s">
        <v>13</v>
      </c>
      <c r="E674" s="3">
        <v>300</v>
      </c>
      <c r="F674" s="4">
        <v>43918</v>
      </c>
      <c r="G674" s="2" t="s">
        <v>26</v>
      </c>
    </row>
    <row r="675" spans="1:7" x14ac:dyDescent="0.35">
      <c r="A675" s="2">
        <v>674</v>
      </c>
      <c r="B675" t="s">
        <v>7</v>
      </c>
      <c r="C675" t="s">
        <v>17</v>
      </c>
      <c r="D675" t="s">
        <v>13</v>
      </c>
      <c r="E675" s="3">
        <v>350</v>
      </c>
      <c r="F675" s="4">
        <v>44342</v>
      </c>
      <c r="G675" s="2" t="s">
        <v>26</v>
      </c>
    </row>
    <row r="676" spans="1:7" x14ac:dyDescent="0.35">
      <c r="A676" s="2">
        <v>675</v>
      </c>
      <c r="B676" t="s">
        <v>11</v>
      </c>
      <c r="C676" t="s">
        <v>21</v>
      </c>
      <c r="D676" t="s">
        <v>22</v>
      </c>
      <c r="E676" s="3">
        <v>300</v>
      </c>
      <c r="F676" s="4">
        <v>43813</v>
      </c>
      <c r="G676" s="2" t="s">
        <v>26</v>
      </c>
    </row>
    <row r="677" spans="1:7" x14ac:dyDescent="0.35">
      <c r="A677" s="2">
        <v>676</v>
      </c>
      <c r="B677" t="s">
        <v>14</v>
      </c>
      <c r="C677" t="s">
        <v>23</v>
      </c>
      <c r="D677" t="s">
        <v>22</v>
      </c>
      <c r="E677" s="3">
        <v>120</v>
      </c>
      <c r="F677" s="4">
        <v>44215</v>
      </c>
      <c r="G677" s="2" t="s">
        <v>26</v>
      </c>
    </row>
    <row r="678" spans="1:7" x14ac:dyDescent="0.35">
      <c r="A678" s="2">
        <v>677</v>
      </c>
      <c r="B678" t="s">
        <v>20</v>
      </c>
      <c r="C678" t="s">
        <v>24</v>
      </c>
      <c r="D678" t="s">
        <v>9</v>
      </c>
      <c r="E678" s="3">
        <v>150</v>
      </c>
      <c r="F678" s="4">
        <v>43742</v>
      </c>
      <c r="G678" s="2" t="s">
        <v>26</v>
      </c>
    </row>
    <row r="679" spans="1:7" x14ac:dyDescent="0.35">
      <c r="A679" s="2">
        <v>678</v>
      </c>
      <c r="B679" t="s">
        <v>7</v>
      </c>
      <c r="C679" t="s">
        <v>8</v>
      </c>
      <c r="D679" t="s">
        <v>9</v>
      </c>
      <c r="E679" s="3">
        <v>1200</v>
      </c>
      <c r="F679" s="4">
        <v>43468</v>
      </c>
      <c r="G679" s="2" t="s">
        <v>10</v>
      </c>
    </row>
    <row r="680" spans="1:7" x14ac:dyDescent="0.35">
      <c r="A680" s="2">
        <v>679</v>
      </c>
      <c r="B680" t="s">
        <v>11</v>
      </c>
      <c r="C680" t="s">
        <v>12</v>
      </c>
      <c r="D680" t="s">
        <v>13</v>
      </c>
      <c r="E680" s="3">
        <v>800</v>
      </c>
      <c r="F680" s="4">
        <v>44067</v>
      </c>
      <c r="G680" s="2" t="s">
        <v>10</v>
      </c>
    </row>
    <row r="681" spans="1:7" x14ac:dyDescent="0.35">
      <c r="A681" s="2">
        <v>680</v>
      </c>
      <c r="B681" t="s">
        <v>14</v>
      </c>
      <c r="C681" t="s">
        <v>15</v>
      </c>
      <c r="D681" t="s">
        <v>13</v>
      </c>
      <c r="E681" s="3">
        <v>750</v>
      </c>
      <c r="F681" s="4">
        <v>43646</v>
      </c>
      <c r="G681" s="2" t="s">
        <v>10</v>
      </c>
    </row>
    <row r="682" spans="1:7" x14ac:dyDescent="0.35">
      <c r="A682" s="2">
        <v>681</v>
      </c>
      <c r="B682" t="s">
        <v>16</v>
      </c>
      <c r="C682" t="s">
        <v>17</v>
      </c>
      <c r="D682" t="s">
        <v>13</v>
      </c>
      <c r="E682" s="3">
        <v>4500</v>
      </c>
      <c r="F682" s="4">
        <v>43796</v>
      </c>
      <c r="G682" s="2" t="s">
        <v>10</v>
      </c>
    </row>
    <row r="683" spans="1:7" x14ac:dyDescent="0.35">
      <c r="A683" s="2">
        <v>682</v>
      </c>
      <c r="B683" t="s">
        <v>18</v>
      </c>
      <c r="C683" t="s">
        <v>19</v>
      </c>
      <c r="D683" t="s">
        <v>9</v>
      </c>
      <c r="E683" s="3">
        <v>500</v>
      </c>
      <c r="F683" s="4">
        <v>44079</v>
      </c>
      <c r="G683" s="2" t="s">
        <v>10</v>
      </c>
    </row>
    <row r="684" spans="1:7" x14ac:dyDescent="0.35">
      <c r="A684" s="2">
        <v>683</v>
      </c>
      <c r="B684" t="s">
        <v>20</v>
      </c>
      <c r="C684" t="s">
        <v>8</v>
      </c>
      <c r="D684" t="s">
        <v>9</v>
      </c>
      <c r="E684" s="3">
        <v>750</v>
      </c>
      <c r="F684" s="4">
        <v>44470</v>
      </c>
      <c r="G684" s="2" t="s">
        <v>10</v>
      </c>
    </row>
    <row r="685" spans="1:7" x14ac:dyDescent="0.35">
      <c r="A685" s="2">
        <v>684</v>
      </c>
      <c r="B685" t="s">
        <v>7</v>
      </c>
      <c r="C685" t="s">
        <v>12</v>
      </c>
      <c r="D685" t="s">
        <v>13</v>
      </c>
      <c r="E685" s="3">
        <v>950</v>
      </c>
      <c r="F685" s="4">
        <v>43923</v>
      </c>
      <c r="G685" s="2" t="s">
        <v>10</v>
      </c>
    </row>
    <row r="686" spans="1:7" x14ac:dyDescent="0.35">
      <c r="A686" s="2">
        <v>685</v>
      </c>
      <c r="B686" t="s">
        <v>11</v>
      </c>
      <c r="C686" t="s">
        <v>12</v>
      </c>
      <c r="D686" t="s">
        <v>13</v>
      </c>
      <c r="E686" s="3">
        <v>680</v>
      </c>
      <c r="F686" s="4">
        <v>43553</v>
      </c>
      <c r="G686" s="2" t="s">
        <v>10</v>
      </c>
    </row>
    <row r="687" spans="1:7" x14ac:dyDescent="0.35">
      <c r="A687" s="2">
        <v>686</v>
      </c>
      <c r="B687" t="s">
        <v>14</v>
      </c>
      <c r="C687" t="s">
        <v>15</v>
      </c>
      <c r="D687" t="s">
        <v>13</v>
      </c>
      <c r="E687" s="3">
        <v>950</v>
      </c>
      <c r="F687" s="4">
        <v>43660</v>
      </c>
      <c r="G687" s="2" t="s">
        <v>10</v>
      </c>
    </row>
    <row r="688" spans="1:7" x14ac:dyDescent="0.35">
      <c r="A688" s="2">
        <v>687</v>
      </c>
      <c r="B688" t="s">
        <v>16</v>
      </c>
      <c r="C688" t="s">
        <v>17</v>
      </c>
      <c r="D688" t="s">
        <v>13</v>
      </c>
      <c r="E688" s="3">
        <v>1500</v>
      </c>
      <c r="F688" s="4">
        <v>44087</v>
      </c>
      <c r="G688" s="2" t="s">
        <v>10</v>
      </c>
    </row>
    <row r="689" spans="1:7" x14ac:dyDescent="0.35">
      <c r="A689" s="2">
        <v>688</v>
      </c>
      <c r="B689" t="s">
        <v>18</v>
      </c>
      <c r="C689" t="s">
        <v>21</v>
      </c>
      <c r="D689" t="s">
        <v>22</v>
      </c>
      <c r="E689" s="3">
        <v>5000</v>
      </c>
      <c r="F689" s="4">
        <v>44312</v>
      </c>
      <c r="G689" s="2" t="s">
        <v>10</v>
      </c>
    </row>
    <row r="690" spans="1:7" x14ac:dyDescent="0.35">
      <c r="A690" s="2">
        <v>689</v>
      </c>
      <c r="B690" t="s">
        <v>20</v>
      </c>
      <c r="C690" t="s">
        <v>23</v>
      </c>
      <c r="D690" t="s">
        <v>22</v>
      </c>
      <c r="E690" s="3">
        <v>6500</v>
      </c>
      <c r="F690" s="4">
        <v>43585</v>
      </c>
      <c r="G690" s="2" t="s">
        <v>10</v>
      </c>
    </row>
    <row r="691" spans="1:7" x14ac:dyDescent="0.35">
      <c r="A691" s="2">
        <v>690</v>
      </c>
      <c r="B691" t="s">
        <v>7</v>
      </c>
      <c r="C691" t="s">
        <v>24</v>
      </c>
      <c r="D691" t="s">
        <v>9</v>
      </c>
      <c r="E691" s="3">
        <v>8500</v>
      </c>
      <c r="F691" s="4">
        <v>43910</v>
      </c>
      <c r="G691" s="2" t="s">
        <v>10</v>
      </c>
    </row>
    <row r="692" spans="1:7" x14ac:dyDescent="0.35">
      <c r="A692" s="2">
        <v>691</v>
      </c>
      <c r="B692" t="s">
        <v>11</v>
      </c>
      <c r="C692" t="s">
        <v>25</v>
      </c>
      <c r="D692" t="s">
        <v>9</v>
      </c>
      <c r="E692" s="3">
        <v>1200</v>
      </c>
      <c r="F692" s="4">
        <v>44476</v>
      </c>
      <c r="G692" s="2" t="s">
        <v>10</v>
      </c>
    </row>
    <row r="693" spans="1:7" x14ac:dyDescent="0.35">
      <c r="A693" s="2">
        <v>692</v>
      </c>
      <c r="B693" t="s">
        <v>14</v>
      </c>
      <c r="C693" t="s">
        <v>24</v>
      </c>
      <c r="D693" t="s">
        <v>9</v>
      </c>
      <c r="E693" s="3">
        <v>300</v>
      </c>
      <c r="F693" s="4">
        <v>43485</v>
      </c>
      <c r="G693" s="2" t="s">
        <v>10</v>
      </c>
    </row>
    <row r="694" spans="1:7" x14ac:dyDescent="0.35">
      <c r="A694" s="2">
        <v>693</v>
      </c>
      <c r="B694" t="s">
        <v>16</v>
      </c>
      <c r="C694" t="s">
        <v>25</v>
      </c>
      <c r="D694" t="s">
        <v>9</v>
      </c>
      <c r="E694" s="3">
        <v>200</v>
      </c>
      <c r="F694" s="4">
        <v>43582</v>
      </c>
      <c r="G694" s="2" t="s">
        <v>10</v>
      </c>
    </row>
    <row r="695" spans="1:7" x14ac:dyDescent="0.35">
      <c r="A695" s="2">
        <v>694</v>
      </c>
      <c r="B695" t="s">
        <v>18</v>
      </c>
      <c r="C695" t="s">
        <v>27</v>
      </c>
      <c r="D695" t="s">
        <v>22</v>
      </c>
      <c r="E695" s="3">
        <v>150</v>
      </c>
      <c r="F695" s="4">
        <v>44460</v>
      </c>
      <c r="G695" s="2" t="s">
        <v>10</v>
      </c>
    </row>
    <row r="696" spans="1:7" x14ac:dyDescent="0.35">
      <c r="A696" s="2">
        <v>695</v>
      </c>
      <c r="B696" t="s">
        <v>20</v>
      </c>
      <c r="C696" t="s">
        <v>19</v>
      </c>
      <c r="D696" t="s">
        <v>9</v>
      </c>
      <c r="E696" s="3">
        <v>120</v>
      </c>
      <c r="F696" s="4">
        <v>44359</v>
      </c>
      <c r="G696" s="2" t="s">
        <v>10</v>
      </c>
    </row>
    <row r="697" spans="1:7" x14ac:dyDescent="0.35">
      <c r="A697" s="2">
        <v>696</v>
      </c>
      <c r="B697" t="s">
        <v>7</v>
      </c>
      <c r="C697" t="s">
        <v>8</v>
      </c>
      <c r="D697" t="s">
        <v>9</v>
      </c>
      <c r="E697" s="3">
        <v>300</v>
      </c>
      <c r="F697" s="4">
        <v>43820</v>
      </c>
      <c r="G697" s="2" t="s">
        <v>10</v>
      </c>
    </row>
    <row r="698" spans="1:7" x14ac:dyDescent="0.35">
      <c r="A698" s="2">
        <v>697</v>
      </c>
      <c r="B698" t="s">
        <v>11</v>
      </c>
      <c r="C698" t="s">
        <v>12</v>
      </c>
      <c r="D698" t="s">
        <v>13</v>
      </c>
      <c r="E698" s="3">
        <v>350</v>
      </c>
      <c r="F698" s="4">
        <v>44518</v>
      </c>
      <c r="G698" s="2" t="s">
        <v>10</v>
      </c>
    </row>
    <row r="699" spans="1:7" x14ac:dyDescent="0.35">
      <c r="A699" s="2">
        <v>698</v>
      </c>
      <c r="B699" t="s">
        <v>14</v>
      </c>
      <c r="C699" t="s">
        <v>15</v>
      </c>
      <c r="D699" t="s">
        <v>13</v>
      </c>
      <c r="E699" s="3">
        <v>300</v>
      </c>
      <c r="F699" s="4">
        <v>44398</v>
      </c>
      <c r="G699" s="2" t="s">
        <v>10</v>
      </c>
    </row>
    <row r="700" spans="1:7" x14ac:dyDescent="0.35">
      <c r="A700" s="2">
        <v>699</v>
      </c>
      <c r="B700" t="s">
        <v>16</v>
      </c>
      <c r="C700" t="s">
        <v>17</v>
      </c>
      <c r="D700" t="s">
        <v>13</v>
      </c>
      <c r="E700" s="3">
        <v>120</v>
      </c>
      <c r="F700" s="4">
        <v>43964</v>
      </c>
      <c r="G700" s="2" t="s">
        <v>26</v>
      </c>
    </row>
    <row r="701" spans="1:7" x14ac:dyDescent="0.35">
      <c r="A701" s="2">
        <v>700</v>
      </c>
      <c r="B701" t="s">
        <v>18</v>
      </c>
      <c r="C701" t="s">
        <v>21</v>
      </c>
      <c r="D701" t="s">
        <v>22</v>
      </c>
      <c r="E701" s="3">
        <v>150</v>
      </c>
      <c r="F701" s="4">
        <v>43469</v>
      </c>
      <c r="G701" s="2" t="s">
        <v>26</v>
      </c>
    </row>
    <row r="702" spans="1:7" x14ac:dyDescent="0.35">
      <c r="A702" s="2">
        <v>701</v>
      </c>
      <c r="B702" t="s">
        <v>20</v>
      </c>
      <c r="C702" t="s">
        <v>23</v>
      </c>
      <c r="D702" t="s">
        <v>22</v>
      </c>
      <c r="E702" s="3">
        <v>8500</v>
      </c>
      <c r="F702" s="4">
        <v>44329</v>
      </c>
      <c r="G702" s="2" t="s">
        <v>26</v>
      </c>
    </row>
    <row r="703" spans="1:7" x14ac:dyDescent="0.35">
      <c r="A703" s="2">
        <v>702</v>
      </c>
      <c r="B703" t="s">
        <v>7</v>
      </c>
      <c r="C703" t="s">
        <v>24</v>
      </c>
      <c r="D703" t="s">
        <v>9</v>
      </c>
      <c r="E703" s="3">
        <v>1200</v>
      </c>
      <c r="F703" s="4">
        <v>44025</v>
      </c>
      <c r="G703" s="2" t="s">
        <v>26</v>
      </c>
    </row>
    <row r="704" spans="1:7" x14ac:dyDescent="0.35">
      <c r="A704" s="2">
        <v>703</v>
      </c>
      <c r="B704" t="s">
        <v>11</v>
      </c>
      <c r="C704" t="s">
        <v>8</v>
      </c>
      <c r="D704" t="s">
        <v>9</v>
      </c>
      <c r="E704" s="3">
        <v>300</v>
      </c>
      <c r="F704" s="4">
        <v>44029</v>
      </c>
      <c r="G704" s="2" t="s">
        <v>26</v>
      </c>
    </row>
    <row r="705" spans="1:7" x14ac:dyDescent="0.35">
      <c r="A705" s="2">
        <v>704</v>
      </c>
      <c r="B705" t="s">
        <v>14</v>
      </c>
      <c r="C705" t="s">
        <v>12</v>
      </c>
      <c r="D705" t="s">
        <v>13</v>
      </c>
      <c r="E705" s="3">
        <v>200</v>
      </c>
      <c r="F705" s="4">
        <v>44180</v>
      </c>
      <c r="G705" s="2" t="s">
        <v>26</v>
      </c>
    </row>
    <row r="706" spans="1:7" x14ac:dyDescent="0.35">
      <c r="A706" s="2">
        <v>705</v>
      </c>
      <c r="B706" t="s">
        <v>16</v>
      </c>
      <c r="C706" t="s">
        <v>12</v>
      </c>
      <c r="D706" t="s">
        <v>13</v>
      </c>
      <c r="E706" s="3">
        <v>150</v>
      </c>
      <c r="F706" s="4">
        <v>44283</v>
      </c>
      <c r="G706" s="2" t="s">
        <v>26</v>
      </c>
    </row>
    <row r="707" spans="1:7" x14ac:dyDescent="0.35">
      <c r="A707" s="2">
        <v>706</v>
      </c>
      <c r="B707" t="s">
        <v>18</v>
      </c>
      <c r="C707" t="s">
        <v>15</v>
      </c>
      <c r="D707" t="s">
        <v>13</v>
      </c>
      <c r="E707" s="3">
        <v>120</v>
      </c>
      <c r="F707" s="4">
        <v>43840</v>
      </c>
      <c r="G707" s="2" t="s">
        <v>10</v>
      </c>
    </row>
    <row r="708" spans="1:7" x14ac:dyDescent="0.35">
      <c r="A708" s="2">
        <v>707</v>
      </c>
      <c r="B708" t="s">
        <v>20</v>
      </c>
      <c r="C708" t="s">
        <v>17</v>
      </c>
      <c r="D708" t="s">
        <v>13</v>
      </c>
      <c r="E708" s="3">
        <v>300</v>
      </c>
      <c r="F708" s="4">
        <v>44159</v>
      </c>
      <c r="G708" s="2" t="s">
        <v>10</v>
      </c>
    </row>
    <row r="709" spans="1:7" x14ac:dyDescent="0.35">
      <c r="A709" s="2">
        <v>708</v>
      </c>
      <c r="B709" t="s">
        <v>7</v>
      </c>
      <c r="C709" t="s">
        <v>21</v>
      </c>
      <c r="D709" t="s">
        <v>22</v>
      </c>
      <c r="E709" s="3">
        <v>350</v>
      </c>
      <c r="F709" s="4">
        <v>43905</v>
      </c>
      <c r="G709" s="2" t="s">
        <v>10</v>
      </c>
    </row>
    <row r="710" spans="1:7" x14ac:dyDescent="0.35">
      <c r="A710" s="2">
        <v>709</v>
      </c>
      <c r="B710" t="s">
        <v>11</v>
      </c>
      <c r="C710" t="s">
        <v>23</v>
      </c>
      <c r="D710" t="s">
        <v>22</v>
      </c>
      <c r="E710" s="3">
        <v>300</v>
      </c>
      <c r="F710" s="4">
        <v>44380</v>
      </c>
      <c r="G710" s="2" t="s">
        <v>10</v>
      </c>
    </row>
    <row r="711" spans="1:7" x14ac:dyDescent="0.35">
      <c r="A711" s="2">
        <v>710</v>
      </c>
      <c r="B711" t="s">
        <v>14</v>
      </c>
      <c r="C711" t="s">
        <v>24</v>
      </c>
      <c r="D711" t="s">
        <v>9</v>
      </c>
      <c r="E711" s="3">
        <v>120</v>
      </c>
      <c r="F711" s="4">
        <v>44555</v>
      </c>
      <c r="G711" s="2" t="s">
        <v>10</v>
      </c>
    </row>
    <row r="712" spans="1:7" x14ac:dyDescent="0.35">
      <c r="A712" s="2">
        <v>711</v>
      </c>
      <c r="B712" t="s">
        <v>20</v>
      </c>
      <c r="C712" t="s">
        <v>25</v>
      </c>
      <c r="D712" t="s">
        <v>9</v>
      </c>
      <c r="E712" s="3">
        <v>150</v>
      </c>
      <c r="F712" s="4">
        <v>43945</v>
      </c>
      <c r="G712" s="2" t="s">
        <v>10</v>
      </c>
    </row>
    <row r="713" spans="1:7" x14ac:dyDescent="0.35">
      <c r="A713" s="2">
        <v>712</v>
      </c>
      <c r="B713" t="s">
        <v>7</v>
      </c>
      <c r="C713" t="s">
        <v>24</v>
      </c>
      <c r="D713" t="s">
        <v>9</v>
      </c>
      <c r="E713" s="3">
        <v>1200</v>
      </c>
      <c r="F713" s="4">
        <v>43516</v>
      </c>
      <c r="G713" s="2" t="s">
        <v>10</v>
      </c>
    </row>
    <row r="714" spans="1:7" x14ac:dyDescent="0.35">
      <c r="A714" s="2">
        <v>713</v>
      </c>
      <c r="B714" t="s">
        <v>11</v>
      </c>
      <c r="C714" t="s">
        <v>25</v>
      </c>
      <c r="D714" t="s">
        <v>9</v>
      </c>
      <c r="E714" s="3">
        <v>800</v>
      </c>
      <c r="F714" s="4">
        <v>44400</v>
      </c>
      <c r="G714" s="2" t="s">
        <v>26</v>
      </c>
    </row>
    <row r="715" spans="1:7" x14ac:dyDescent="0.35">
      <c r="A715" s="2">
        <v>714</v>
      </c>
      <c r="B715" t="s">
        <v>14</v>
      </c>
      <c r="C715" t="s">
        <v>27</v>
      </c>
      <c r="D715" t="s">
        <v>22</v>
      </c>
      <c r="E715" s="3">
        <v>750</v>
      </c>
      <c r="F715" s="4">
        <v>44500</v>
      </c>
      <c r="G715" s="2" t="s">
        <v>26</v>
      </c>
    </row>
    <row r="716" spans="1:7" x14ac:dyDescent="0.35">
      <c r="A716" s="2">
        <v>715</v>
      </c>
      <c r="B716" t="s">
        <v>16</v>
      </c>
      <c r="C716" t="s">
        <v>19</v>
      </c>
      <c r="D716" t="s">
        <v>9</v>
      </c>
      <c r="E716" s="3">
        <v>4500</v>
      </c>
      <c r="F716" s="4">
        <v>44003</v>
      </c>
      <c r="G716" s="2" t="s">
        <v>26</v>
      </c>
    </row>
    <row r="717" spans="1:7" x14ac:dyDescent="0.35">
      <c r="A717" s="2">
        <v>716</v>
      </c>
      <c r="B717" t="s">
        <v>18</v>
      </c>
      <c r="C717" t="s">
        <v>8</v>
      </c>
      <c r="D717" t="s">
        <v>9</v>
      </c>
      <c r="E717" s="3">
        <v>500</v>
      </c>
      <c r="F717" s="4">
        <v>43901</v>
      </c>
      <c r="G717" s="2" t="s">
        <v>26</v>
      </c>
    </row>
    <row r="718" spans="1:7" x14ac:dyDescent="0.35">
      <c r="A718" s="2">
        <v>717</v>
      </c>
      <c r="B718" t="s">
        <v>20</v>
      </c>
      <c r="C718" t="s">
        <v>12</v>
      </c>
      <c r="D718" t="s">
        <v>13</v>
      </c>
      <c r="E718" s="3">
        <v>750</v>
      </c>
      <c r="F718" s="4">
        <v>44169</v>
      </c>
      <c r="G718" s="2" t="s">
        <v>26</v>
      </c>
    </row>
    <row r="719" spans="1:7" x14ac:dyDescent="0.35">
      <c r="A719" s="2">
        <v>718</v>
      </c>
      <c r="B719" t="s">
        <v>7</v>
      </c>
      <c r="C719" t="s">
        <v>15</v>
      </c>
      <c r="D719" t="s">
        <v>13</v>
      </c>
      <c r="E719" s="3">
        <v>950</v>
      </c>
      <c r="F719" s="4">
        <v>44383</v>
      </c>
      <c r="G719" s="2" t="s">
        <v>26</v>
      </c>
    </row>
    <row r="720" spans="1:7" x14ac:dyDescent="0.35">
      <c r="A720" s="2">
        <v>719</v>
      </c>
      <c r="B720" t="s">
        <v>11</v>
      </c>
      <c r="C720" t="s">
        <v>17</v>
      </c>
      <c r="D720" t="s">
        <v>13</v>
      </c>
      <c r="E720" s="3">
        <v>680</v>
      </c>
      <c r="F720" s="4">
        <v>44479</v>
      </c>
      <c r="G720" s="2" t="s">
        <v>10</v>
      </c>
    </row>
    <row r="721" spans="1:7" x14ac:dyDescent="0.35">
      <c r="A721" s="2">
        <v>720</v>
      </c>
      <c r="B721" t="s">
        <v>14</v>
      </c>
      <c r="C721" t="s">
        <v>21</v>
      </c>
      <c r="D721" t="s">
        <v>22</v>
      </c>
      <c r="E721" s="3">
        <v>950</v>
      </c>
      <c r="F721" s="4">
        <v>43801</v>
      </c>
      <c r="G721" s="2" t="s">
        <v>10</v>
      </c>
    </row>
    <row r="722" spans="1:7" x14ac:dyDescent="0.35">
      <c r="A722" s="2">
        <v>721</v>
      </c>
      <c r="B722" t="s">
        <v>16</v>
      </c>
      <c r="C722" t="s">
        <v>23</v>
      </c>
      <c r="D722" t="s">
        <v>22</v>
      </c>
      <c r="E722" s="3">
        <v>1500</v>
      </c>
      <c r="F722" s="4">
        <v>43511</v>
      </c>
      <c r="G722" s="2" t="s">
        <v>10</v>
      </c>
    </row>
    <row r="723" spans="1:7" x14ac:dyDescent="0.35">
      <c r="A723" s="2">
        <v>722</v>
      </c>
      <c r="B723" t="s">
        <v>18</v>
      </c>
      <c r="C723" t="s">
        <v>24</v>
      </c>
      <c r="D723" t="s">
        <v>9</v>
      </c>
      <c r="E723" s="3">
        <v>5000</v>
      </c>
      <c r="F723" s="4">
        <v>43578</v>
      </c>
      <c r="G723" s="2" t="s">
        <v>10</v>
      </c>
    </row>
    <row r="724" spans="1:7" x14ac:dyDescent="0.35">
      <c r="A724" s="2">
        <v>723</v>
      </c>
      <c r="B724" t="s">
        <v>20</v>
      </c>
      <c r="C724" t="s">
        <v>25</v>
      </c>
      <c r="D724" t="s">
        <v>9</v>
      </c>
      <c r="E724" s="3">
        <v>6500</v>
      </c>
      <c r="F724" s="4">
        <v>43772</v>
      </c>
      <c r="G724" s="2" t="s">
        <v>10</v>
      </c>
    </row>
    <row r="725" spans="1:7" x14ac:dyDescent="0.35">
      <c r="A725" s="2">
        <v>724</v>
      </c>
      <c r="B725" t="s">
        <v>7</v>
      </c>
      <c r="C725" t="s">
        <v>24</v>
      </c>
      <c r="D725" t="s">
        <v>9</v>
      </c>
      <c r="E725" s="3">
        <v>1200</v>
      </c>
      <c r="F725" s="4">
        <v>43512</v>
      </c>
      <c r="G725" s="2" t="s">
        <v>10</v>
      </c>
    </row>
    <row r="726" spans="1:7" x14ac:dyDescent="0.35">
      <c r="A726" s="2">
        <v>725</v>
      </c>
      <c r="B726" t="s">
        <v>11</v>
      </c>
      <c r="C726" t="s">
        <v>25</v>
      </c>
      <c r="D726" t="s">
        <v>9</v>
      </c>
      <c r="E726" s="3">
        <v>800</v>
      </c>
      <c r="F726" s="4">
        <v>43618</v>
      </c>
      <c r="G726" s="2" t="s">
        <v>10</v>
      </c>
    </row>
    <row r="727" spans="1:7" x14ac:dyDescent="0.35">
      <c r="A727" s="2">
        <v>726</v>
      </c>
      <c r="B727" t="s">
        <v>14</v>
      </c>
      <c r="C727" t="s">
        <v>27</v>
      </c>
      <c r="D727" t="s">
        <v>22</v>
      </c>
      <c r="E727" s="3">
        <v>750</v>
      </c>
      <c r="F727" s="4">
        <v>44520</v>
      </c>
      <c r="G727" s="2" t="s">
        <v>10</v>
      </c>
    </row>
    <row r="728" spans="1:7" x14ac:dyDescent="0.35">
      <c r="A728" s="2">
        <v>727</v>
      </c>
      <c r="B728" t="s">
        <v>16</v>
      </c>
      <c r="C728" t="s">
        <v>19</v>
      </c>
      <c r="D728" t="s">
        <v>9</v>
      </c>
      <c r="E728" s="3">
        <v>4500</v>
      </c>
      <c r="F728" s="4">
        <v>44271</v>
      </c>
      <c r="G728" s="2" t="s">
        <v>10</v>
      </c>
    </row>
    <row r="729" spans="1:7" x14ac:dyDescent="0.35">
      <c r="A729" s="2">
        <v>728</v>
      </c>
      <c r="B729" t="s">
        <v>18</v>
      </c>
      <c r="C729" t="s">
        <v>8</v>
      </c>
      <c r="D729" t="s">
        <v>9</v>
      </c>
      <c r="E729" s="3">
        <v>500</v>
      </c>
      <c r="F729" s="4">
        <v>44243</v>
      </c>
      <c r="G729" s="2" t="s">
        <v>10</v>
      </c>
    </row>
    <row r="730" spans="1:7" x14ac:dyDescent="0.35">
      <c r="A730" s="2">
        <v>729</v>
      </c>
      <c r="B730" t="s">
        <v>20</v>
      </c>
      <c r="C730" t="s">
        <v>12</v>
      </c>
      <c r="D730" t="s">
        <v>13</v>
      </c>
      <c r="E730" s="3">
        <v>750</v>
      </c>
      <c r="F730" s="4">
        <v>43473</v>
      </c>
      <c r="G730" s="2" t="s">
        <v>10</v>
      </c>
    </row>
    <row r="731" spans="1:7" x14ac:dyDescent="0.35">
      <c r="A731" s="2">
        <v>730</v>
      </c>
      <c r="B731" t="s">
        <v>7</v>
      </c>
      <c r="C731" t="s">
        <v>15</v>
      </c>
      <c r="D731" t="s">
        <v>13</v>
      </c>
      <c r="E731" s="3">
        <v>300</v>
      </c>
      <c r="F731" s="4">
        <v>44208</v>
      </c>
      <c r="G731" s="2" t="s">
        <v>10</v>
      </c>
    </row>
    <row r="732" spans="1:7" x14ac:dyDescent="0.35">
      <c r="A732" s="2">
        <v>731</v>
      </c>
      <c r="B732" t="s">
        <v>7</v>
      </c>
      <c r="C732" t="s">
        <v>17</v>
      </c>
      <c r="D732" t="s">
        <v>13</v>
      </c>
      <c r="E732" s="3">
        <v>350</v>
      </c>
      <c r="F732" s="4">
        <v>43501</v>
      </c>
      <c r="G732" s="2" t="s">
        <v>10</v>
      </c>
    </row>
    <row r="733" spans="1:7" x14ac:dyDescent="0.35">
      <c r="A733" s="2">
        <v>732</v>
      </c>
      <c r="B733" t="s">
        <v>11</v>
      </c>
      <c r="C733" t="s">
        <v>21</v>
      </c>
      <c r="D733" t="s">
        <v>22</v>
      </c>
      <c r="E733" s="3">
        <v>8500</v>
      </c>
      <c r="F733" s="4">
        <v>44397</v>
      </c>
      <c r="G733" s="2" t="s">
        <v>10</v>
      </c>
    </row>
    <row r="734" spans="1:7" x14ac:dyDescent="0.35">
      <c r="A734" s="2">
        <v>733</v>
      </c>
      <c r="B734" t="s">
        <v>14</v>
      </c>
      <c r="C734" t="s">
        <v>23</v>
      </c>
      <c r="D734" t="s">
        <v>22</v>
      </c>
      <c r="E734" s="3">
        <v>1200</v>
      </c>
      <c r="F734" s="4">
        <v>44209</v>
      </c>
      <c r="G734" s="2" t="s">
        <v>10</v>
      </c>
    </row>
    <row r="735" spans="1:7" x14ac:dyDescent="0.35">
      <c r="A735" s="2">
        <v>734</v>
      </c>
      <c r="B735" t="s">
        <v>16</v>
      </c>
      <c r="C735" t="s">
        <v>24</v>
      </c>
      <c r="D735" t="s">
        <v>9</v>
      </c>
      <c r="E735" s="3">
        <v>300</v>
      </c>
      <c r="F735" s="4">
        <v>43867</v>
      </c>
      <c r="G735" s="2" t="s">
        <v>10</v>
      </c>
    </row>
    <row r="736" spans="1:7" x14ac:dyDescent="0.35">
      <c r="A736" s="2">
        <v>735</v>
      </c>
      <c r="B736" t="s">
        <v>18</v>
      </c>
      <c r="C736" t="s">
        <v>8</v>
      </c>
      <c r="D736" t="s">
        <v>9</v>
      </c>
      <c r="E736" s="3">
        <v>200</v>
      </c>
      <c r="F736" s="4">
        <v>43936</v>
      </c>
      <c r="G736" s="2" t="s">
        <v>10</v>
      </c>
    </row>
    <row r="737" spans="1:7" x14ac:dyDescent="0.35">
      <c r="A737" s="2">
        <v>736</v>
      </c>
      <c r="B737" t="s">
        <v>20</v>
      </c>
      <c r="C737" t="s">
        <v>12</v>
      </c>
      <c r="D737" t="s">
        <v>13</v>
      </c>
      <c r="E737" s="3">
        <v>150</v>
      </c>
      <c r="F737" s="4">
        <v>44110</v>
      </c>
      <c r="G737" s="2" t="s">
        <v>10</v>
      </c>
    </row>
    <row r="738" spans="1:7" x14ac:dyDescent="0.35">
      <c r="A738" s="2">
        <v>737</v>
      </c>
      <c r="B738" t="s">
        <v>7</v>
      </c>
      <c r="C738" t="s">
        <v>12</v>
      </c>
      <c r="D738" t="s">
        <v>13</v>
      </c>
      <c r="E738" s="3">
        <v>120</v>
      </c>
      <c r="F738" s="4">
        <v>44306</v>
      </c>
      <c r="G738" s="2" t="s">
        <v>10</v>
      </c>
    </row>
    <row r="739" spans="1:7" x14ac:dyDescent="0.35">
      <c r="A739" s="2">
        <v>738</v>
      </c>
      <c r="B739" t="s">
        <v>11</v>
      </c>
      <c r="C739" t="s">
        <v>15</v>
      </c>
      <c r="D739" t="s">
        <v>13</v>
      </c>
      <c r="E739" s="3">
        <v>300</v>
      </c>
      <c r="F739" s="4">
        <v>43472</v>
      </c>
      <c r="G739" s="2" t="s">
        <v>10</v>
      </c>
    </row>
    <row r="740" spans="1:7" x14ac:dyDescent="0.35">
      <c r="A740" s="2">
        <v>739</v>
      </c>
      <c r="B740" t="s">
        <v>14</v>
      </c>
      <c r="C740" t="s">
        <v>17</v>
      </c>
      <c r="D740" t="s">
        <v>13</v>
      </c>
      <c r="E740" s="3">
        <v>350</v>
      </c>
      <c r="F740" s="4">
        <v>43629</v>
      </c>
      <c r="G740" s="2" t="s">
        <v>10</v>
      </c>
    </row>
    <row r="741" spans="1:7" x14ac:dyDescent="0.35">
      <c r="A741" s="2">
        <v>740</v>
      </c>
      <c r="B741" t="s">
        <v>16</v>
      </c>
      <c r="C741" t="s">
        <v>21</v>
      </c>
      <c r="D741" t="s">
        <v>22</v>
      </c>
      <c r="E741" s="3">
        <v>300</v>
      </c>
      <c r="F741" s="4">
        <v>44183</v>
      </c>
      <c r="G741" s="2" t="s">
        <v>26</v>
      </c>
    </row>
    <row r="742" spans="1:7" x14ac:dyDescent="0.35">
      <c r="A742" s="2">
        <v>741</v>
      </c>
      <c r="B742" t="s">
        <v>18</v>
      </c>
      <c r="C742" t="s">
        <v>15</v>
      </c>
      <c r="D742" t="s">
        <v>13</v>
      </c>
      <c r="E742" s="3">
        <v>120</v>
      </c>
      <c r="F742" s="4">
        <v>43636</v>
      </c>
      <c r="G742" s="2" t="s">
        <v>26</v>
      </c>
    </row>
    <row r="743" spans="1:7" x14ac:dyDescent="0.35">
      <c r="A743" s="2">
        <v>742</v>
      </c>
      <c r="B743" t="s">
        <v>20</v>
      </c>
      <c r="C743" t="s">
        <v>17</v>
      </c>
      <c r="D743" t="s">
        <v>13</v>
      </c>
      <c r="E743" s="3">
        <v>150</v>
      </c>
      <c r="F743" s="4">
        <v>44335</v>
      </c>
      <c r="G743" s="2" t="s">
        <v>26</v>
      </c>
    </row>
    <row r="744" spans="1:7" x14ac:dyDescent="0.35">
      <c r="A744" s="2">
        <v>743</v>
      </c>
      <c r="B744" t="s">
        <v>7</v>
      </c>
      <c r="C744" t="s">
        <v>19</v>
      </c>
      <c r="D744" t="s">
        <v>9</v>
      </c>
      <c r="E744" s="3">
        <v>1200</v>
      </c>
      <c r="F744" s="4">
        <v>43576</v>
      </c>
      <c r="G744" s="2" t="s">
        <v>26</v>
      </c>
    </row>
    <row r="745" spans="1:7" x14ac:dyDescent="0.35">
      <c r="A745" s="2">
        <v>744</v>
      </c>
      <c r="B745" t="s">
        <v>11</v>
      </c>
      <c r="C745" t="s">
        <v>8</v>
      </c>
      <c r="D745" t="s">
        <v>9</v>
      </c>
      <c r="E745" s="3">
        <v>800</v>
      </c>
      <c r="F745" s="4">
        <v>43725</v>
      </c>
      <c r="G745" s="2" t="s">
        <v>26</v>
      </c>
    </row>
    <row r="746" spans="1:7" x14ac:dyDescent="0.35">
      <c r="A746" s="2">
        <v>745</v>
      </c>
      <c r="B746" t="s">
        <v>14</v>
      </c>
      <c r="C746" t="s">
        <v>12</v>
      </c>
      <c r="D746" t="s">
        <v>13</v>
      </c>
      <c r="E746" s="3">
        <v>750</v>
      </c>
      <c r="F746" s="4">
        <v>43731</v>
      </c>
      <c r="G746" s="2" t="s">
        <v>26</v>
      </c>
    </row>
    <row r="747" spans="1:7" x14ac:dyDescent="0.35">
      <c r="A747" s="2">
        <v>746</v>
      </c>
      <c r="B747" t="s">
        <v>20</v>
      </c>
      <c r="C747" t="s">
        <v>12</v>
      </c>
      <c r="D747" t="s">
        <v>13</v>
      </c>
      <c r="E747" s="3">
        <v>4500</v>
      </c>
      <c r="F747" s="4">
        <v>44038</v>
      </c>
      <c r="G747" s="2" t="s">
        <v>26</v>
      </c>
    </row>
    <row r="748" spans="1:7" x14ac:dyDescent="0.35">
      <c r="A748" s="2">
        <v>747</v>
      </c>
      <c r="B748" t="s">
        <v>7</v>
      </c>
      <c r="C748" t="s">
        <v>15</v>
      </c>
      <c r="D748" t="s">
        <v>13</v>
      </c>
      <c r="E748" s="3">
        <v>500</v>
      </c>
      <c r="F748" s="4">
        <v>43698</v>
      </c>
      <c r="G748" s="2" t="s">
        <v>10</v>
      </c>
    </row>
    <row r="749" spans="1:7" x14ac:dyDescent="0.35">
      <c r="A749" s="2">
        <v>748</v>
      </c>
      <c r="B749" t="s">
        <v>11</v>
      </c>
      <c r="C749" t="s">
        <v>17</v>
      </c>
      <c r="D749" t="s">
        <v>13</v>
      </c>
      <c r="E749" s="3">
        <v>750</v>
      </c>
      <c r="F749" s="4">
        <v>44091</v>
      </c>
      <c r="G749" s="2" t="s">
        <v>10</v>
      </c>
    </row>
    <row r="750" spans="1:7" x14ac:dyDescent="0.35">
      <c r="A750" s="2">
        <v>749</v>
      </c>
      <c r="B750" t="s">
        <v>14</v>
      </c>
      <c r="C750" t="s">
        <v>21</v>
      </c>
      <c r="D750" t="s">
        <v>22</v>
      </c>
      <c r="E750" s="3">
        <v>950</v>
      </c>
      <c r="F750" s="4">
        <v>44490</v>
      </c>
      <c r="G750" s="2" t="s">
        <v>10</v>
      </c>
    </row>
    <row r="751" spans="1:7" x14ac:dyDescent="0.35">
      <c r="A751" s="2">
        <v>750</v>
      </c>
      <c r="B751" t="s">
        <v>16</v>
      </c>
      <c r="C751" t="s">
        <v>23</v>
      </c>
      <c r="D751" t="s">
        <v>22</v>
      </c>
      <c r="E751" s="3">
        <v>680</v>
      </c>
      <c r="F751" s="4">
        <v>44152</v>
      </c>
      <c r="G751" s="2" t="s">
        <v>10</v>
      </c>
    </row>
    <row r="752" spans="1:7" x14ac:dyDescent="0.35">
      <c r="A752" s="2">
        <v>751</v>
      </c>
      <c r="B752" t="s">
        <v>18</v>
      </c>
      <c r="C752" t="s">
        <v>24</v>
      </c>
      <c r="D752" t="s">
        <v>9</v>
      </c>
      <c r="E752" s="3">
        <v>950</v>
      </c>
      <c r="F752" s="4">
        <v>44475</v>
      </c>
      <c r="G752" s="2" t="s">
        <v>10</v>
      </c>
    </row>
    <row r="753" spans="1:7" x14ac:dyDescent="0.35">
      <c r="A753" s="2">
        <v>752</v>
      </c>
      <c r="B753" t="s">
        <v>20</v>
      </c>
      <c r="C753" t="s">
        <v>25</v>
      </c>
      <c r="D753" t="s">
        <v>9</v>
      </c>
      <c r="E753" s="3">
        <v>1500</v>
      </c>
      <c r="F753" s="4">
        <v>43715</v>
      </c>
      <c r="G753" s="2" t="s">
        <v>10</v>
      </c>
    </row>
    <row r="754" spans="1:7" x14ac:dyDescent="0.35">
      <c r="A754" s="2">
        <v>753</v>
      </c>
      <c r="B754" t="s">
        <v>7</v>
      </c>
      <c r="C754" t="s">
        <v>24</v>
      </c>
      <c r="D754" t="s">
        <v>9</v>
      </c>
      <c r="E754" s="3">
        <v>5000</v>
      </c>
      <c r="F754" s="4">
        <v>43611</v>
      </c>
      <c r="G754" s="2" t="s">
        <v>10</v>
      </c>
    </row>
    <row r="755" spans="1:7" x14ac:dyDescent="0.35">
      <c r="A755" s="2">
        <v>754</v>
      </c>
      <c r="B755" t="s">
        <v>11</v>
      </c>
      <c r="C755" t="s">
        <v>25</v>
      </c>
      <c r="D755" t="s">
        <v>9</v>
      </c>
      <c r="E755" s="3">
        <v>6500</v>
      </c>
      <c r="F755" s="4">
        <v>43476</v>
      </c>
      <c r="G755" s="2" t="s">
        <v>10</v>
      </c>
    </row>
    <row r="756" spans="1:7" x14ac:dyDescent="0.35">
      <c r="A756" s="2">
        <v>755</v>
      </c>
      <c r="B756" t="s">
        <v>14</v>
      </c>
      <c r="C756" t="s">
        <v>27</v>
      </c>
      <c r="D756" t="s">
        <v>22</v>
      </c>
      <c r="E756" s="3">
        <v>8500</v>
      </c>
      <c r="F756" s="4">
        <v>43897</v>
      </c>
      <c r="G756" s="2" t="s">
        <v>26</v>
      </c>
    </row>
    <row r="757" spans="1:7" x14ac:dyDescent="0.35">
      <c r="A757" s="2">
        <v>756</v>
      </c>
      <c r="B757" t="s">
        <v>16</v>
      </c>
      <c r="C757" t="s">
        <v>19</v>
      </c>
      <c r="D757" t="s">
        <v>9</v>
      </c>
      <c r="E757" s="3">
        <v>1200</v>
      </c>
      <c r="F757" s="4">
        <v>43501</v>
      </c>
      <c r="G757" s="2" t="s">
        <v>26</v>
      </c>
    </row>
    <row r="758" spans="1:7" x14ac:dyDescent="0.35">
      <c r="A758" s="2">
        <v>757</v>
      </c>
      <c r="B758" t="s">
        <v>11</v>
      </c>
      <c r="C758" t="s">
        <v>8</v>
      </c>
      <c r="D758" t="s">
        <v>9</v>
      </c>
      <c r="E758" s="3">
        <v>300</v>
      </c>
      <c r="F758" s="4">
        <v>44248</v>
      </c>
      <c r="G758" s="2" t="s">
        <v>26</v>
      </c>
    </row>
    <row r="759" spans="1:7" x14ac:dyDescent="0.35">
      <c r="A759" s="2">
        <v>758</v>
      </c>
      <c r="B759" t="s">
        <v>14</v>
      </c>
      <c r="C759" t="s">
        <v>12</v>
      </c>
      <c r="D759" t="s">
        <v>13</v>
      </c>
      <c r="E759" s="3">
        <v>200</v>
      </c>
      <c r="F759" s="4">
        <v>43869</v>
      </c>
      <c r="G759" s="2" t="s">
        <v>26</v>
      </c>
    </row>
    <row r="760" spans="1:7" x14ac:dyDescent="0.35">
      <c r="A760" s="2">
        <v>759</v>
      </c>
      <c r="B760" t="s">
        <v>16</v>
      </c>
      <c r="C760" t="s">
        <v>15</v>
      </c>
      <c r="D760" t="s">
        <v>13</v>
      </c>
      <c r="E760" s="3">
        <v>150</v>
      </c>
      <c r="F760" s="4">
        <v>43517</v>
      </c>
      <c r="G760" s="2" t="s">
        <v>10</v>
      </c>
    </row>
    <row r="761" spans="1:7" x14ac:dyDescent="0.35">
      <c r="A761" s="2">
        <v>760</v>
      </c>
      <c r="B761" t="s">
        <v>18</v>
      </c>
      <c r="C761" t="s">
        <v>17</v>
      </c>
      <c r="D761" t="s">
        <v>13</v>
      </c>
      <c r="E761" s="3">
        <v>120</v>
      </c>
      <c r="F761" s="4">
        <v>44450</v>
      </c>
      <c r="G761" s="2" t="s">
        <v>10</v>
      </c>
    </row>
    <row r="762" spans="1:7" x14ac:dyDescent="0.35">
      <c r="A762" s="2">
        <v>761</v>
      </c>
      <c r="B762" t="s">
        <v>20</v>
      </c>
      <c r="C762" t="s">
        <v>21</v>
      </c>
      <c r="D762" t="s">
        <v>22</v>
      </c>
      <c r="E762" s="3">
        <v>300</v>
      </c>
      <c r="F762" s="4">
        <v>43755</v>
      </c>
      <c r="G762" s="2" t="s">
        <v>10</v>
      </c>
    </row>
    <row r="763" spans="1:7" x14ac:dyDescent="0.35">
      <c r="A763" s="2">
        <v>762</v>
      </c>
      <c r="B763" t="s">
        <v>7</v>
      </c>
      <c r="C763" t="s">
        <v>23</v>
      </c>
      <c r="D763" t="s">
        <v>22</v>
      </c>
      <c r="E763" s="3">
        <v>350</v>
      </c>
      <c r="F763" s="4">
        <v>43794</v>
      </c>
      <c r="G763" s="2" t="s">
        <v>10</v>
      </c>
    </row>
    <row r="764" spans="1:7" x14ac:dyDescent="0.35">
      <c r="A764" s="2">
        <v>763</v>
      </c>
      <c r="B764" t="s">
        <v>11</v>
      </c>
      <c r="C764" t="s">
        <v>24</v>
      </c>
      <c r="D764" t="s">
        <v>9</v>
      </c>
      <c r="E764" s="3">
        <v>300</v>
      </c>
      <c r="F764" s="4">
        <v>43499</v>
      </c>
      <c r="G764" s="2" t="s">
        <v>10</v>
      </c>
    </row>
    <row r="765" spans="1:7" x14ac:dyDescent="0.35">
      <c r="A765" s="2">
        <v>764</v>
      </c>
      <c r="B765" t="s">
        <v>14</v>
      </c>
      <c r="C765" t="s">
        <v>8</v>
      </c>
      <c r="D765" t="s">
        <v>9</v>
      </c>
      <c r="E765" s="3">
        <v>120</v>
      </c>
      <c r="F765" s="4">
        <v>43854</v>
      </c>
      <c r="G765" s="2" t="s">
        <v>10</v>
      </c>
    </row>
    <row r="766" spans="1:7" x14ac:dyDescent="0.35">
      <c r="A766" s="2">
        <v>765</v>
      </c>
      <c r="B766" t="s">
        <v>20</v>
      </c>
      <c r="C766" t="s">
        <v>12</v>
      </c>
      <c r="D766" t="s">
        <v>13</v>
      </c>
      <c r="E766" s="3">
        <v>150</v>
      </c>
      <c r="F766" s="4">
        <v>44328</v>
      </c>
      <c r="G766" s="2" t="s">
        <v>10</v>
      </c>
    </row>
    <row r="767" spans="1:7" x14ac:dyDescent="0.35">
      <c r="A767" s="2">
        <v>766</v>
      </c>
      <c r="B767" t="s">
        <v>7</v>
      </c>
      <c r="C767" t="s">
        <v>12</v>
      </c>
      <c r="D767" t="s">
        <v>13</v>
      </c>
      <c r="E767" s="3">
        <v>8500</v>
      </c>
      <c r="F767" s="4">
        <v>44555</v>
      </c>
      <c r="G767" s="2" t="s">
        <v>10</v>
      </c>
    </row>
    <row r="768" spans="1:7" x14ac:dyDescent="0.35">
      <c r="A768" s="2">
        <v>767</v>
      </c>
      <c r="B768" t="s">
        <v>11</v>
      </c>
      <c r="C768" t="s">
        <v>15</v>
      </c>
      <c r="D768" t="s">
        <v>13</v>
      </c>
      <c r="E768" s="3">
        <v>1200</v>
      </c>
      <c r="F768" s="4">
        <v>43963</v>
      </c>
      <c r="G768" s="2" t="s">
        <v>10</v>
      </c>
    </row>
    <row r="769" spans="1:7" x14ac:dyDescent="0.35">
      <c r="A769" s="2">
        <v>768</v>
      </c>
      <c r="B769" t="s">
        <v>14</v>
      </c>
      <c r="C769" t="s">
        <v>17</v>
      </c>
      <c r="D769" t="s">
        <v>13</v>
      </c>
      <c r="E769" s="3">
        <v>300</v>
      </c>
      <c r="F769" s="4">
        <v>44272</v>
      </c>
      <c r="G769" s="2" t="s">
        <v>10</v>
      </c>
    </row>
    <row r="770" spans="1:7" x14ac:dyDescent="0.35">
      <c r="A770" s="2">
        <v>769</v>
      </c>
      <c r="B770" t="s">
        <v>16</v>
      </c>
      <c r="C770" t="s">
        <v>21</v>
      </c>
      <c r="D770" t="s">
        <v>22</v>
      </c>
      <c r="E770" s="3">
        <v>200</v>
      </c>
      <c r="F770" s="4">
        <v>44342</v>
      </c>
      <c r="G770" s="2" t="s">
        <v>10</v>
      </c>
    </row>
    <row r="771" spans="1:7" x14ac:dyDescent="0.35">
      <c r="A771" s="2">
        <v>770</v>
      </c>
      <c r="B771" t="s">
        <v>18</v>
      </c>
      <c r="C771" t="s">
        <v>23</v>
      </c>
      <c r="D771" t="s">
        <v>22</v>
      </c>
      <c r="E771" s="3">
        <v>150</v>
      </c>
      <c r="F771" s="4">
        <v>43665</v>
      </c>
      <c r="G771" s="2" t="s">
        <v>10</v>
      </c>
    </row>
    <row r="772" spans="1:7" x14ac:dyDescent="0.35">
      <c r="A772" s="2">
        <v>771</v>
      </c>
      <c r="B772" t="s">
        <v>20</v>
      </c>
      <c r="C772" t="s">
        <v>24</v>
      </c>
      <c r="D772" t="s">
        <v>9</v>
      </c>
      <c r="E772" s="3">
        <v>120</v>
      </c>
      <c r="F772" s="4">
        <v>43583</v>
      </c>
      <c r="G772" s="2" t="s">
        <v>26</v>
      </c>
    </row>
    <row r="773" spans="1:7" x14ac:dyDescent="0.35">
      <c r="A773" s="2">
        <v>772</v>
      </c>
      <c r="B773" t="s">
        <v>7</v>
      </c>
      <c r="C773" t="s">
        <v>25</v>
      </c>
      <c r="D773" t="s">
        <v>9</v>
      </c>
      <c r="E773" s="3">
        <v>300</v>
      </c>
      <c r="F773" s="4">
        <v>44365</v>
      </c>
      <c r="G773" s="2" t="s">
        <v>26</v>
      </c>
    </row>
    <row r="774" spans="1:7" x14ac:dyDescent="0.35">
      <c r="A774" s="2">
        <v>773</v>
      </c>
      <c r="B774" t="s">
        <v>11</v>
      </c>
      <c r="C774" t="s">
        <v>24</v>
      </c>
      <c r="D774" t="s">
        <v>9</v>
      </c>
      <c r="E774" s="3">
        <v>350</v>
      </c>
      <c r="F774" s="4">
        <v>43743</v>
      </c>
      <c r="G774" s="2" t="s">
        <v>26</v>
      </c>
    </row>
    <row r="775" spans="1:7" x14ac:dyDescent="0.35">
      <c r="A775" s="2">
        <v>774</v>
      </c>
      <c r="B775" t="s">
        <v>14</v>
      </c>
      <c r="C775" t="s">
        <v>25</v>
      </c>
      <c r="D775" t="s">
        <v>9</v>
      </c>
      <c r="E775" s="3">
        <v>300</v>
      </c>
      <c r="F775" s="4">
        <v>43487</v>
      </c>
      <c r="G775" s="2" t="s">
        <v>26</v>
      </c>
    </row>
    <row r="776" spans="1:7" x14ac:dyDescent="0.35">
      <c r="A776" s="2">
        <v>775</v>
      </c>
      <c r="B776" t="s">
        <v>16</v>
      </c>
      <c r="C776" t="s">
        <v>27</v>
      </c>
      <c r="D776" t="s">
        <v>22</v>
      </c>
      <c r="E776" s="3">
        <v>120</v>
      </c>
      <c r="F776" s="4">
        <v>44320</v>
      </c>
      <c r="G776" s="2" t="s">
        <v>26</v>
      </c>
    </row>
    <row r="777" spans="1:7" x14ac:dyDescent="0.35">
      <c r="A777" s="2">
        <v>776</v>
      </c>
      <c r="B777" t="s">
        <v>18</v>
      </c>
      <c r="C777" t="s">
        <v>19</v>
      </c>
      <c r="D777" t="s">
        <v>9</v>
      </c>
      <c r="E777" s="3">
        <v>150</v>
      </c>
      <c r="F777" s="4">
        <v>43920</v>
      </c>
      <c r="G777" s="2" t="s">
        <v>26</v>
      </c>
    </row>
    <row r="778" spans="1:7" x14ac:dyDescent="0.35">
      <c r="A778" s="2">
        <v>777</v>
      </c>
      <c r="B778" t="s">
        <v>20</v>
      </c>
      <c r="C778" t="s">
        <v>8</v>
      </c>
      <c r="D778" t="s">
        <v>9</v>
      </c>
      <c r="E778" s="3">
        <v>1200</v>
      </c>
      <c r="F778" s="4">
        <v>43529</v>
      </c>
      <c r="G778" s="2" t="s">
        <v>26</v>
      </c>
    </row>
    <row r="779" spans="1:7" x14ac:dyDescent="0.35">
      <c r="A779" s="2">
        <v>778</v>
      </c>
      <c r="B779" t="s">
        <v>7</v>
      </c>
      <c r="C779" t="s">
        <v>12</v>
      </c>
      <c r="D779" t="s">
        <v>13</v>
      </c>
      <c r="E779" s="3">
        <v>800</v>
      </c>
      <c r="F779" s="4">
        <v>44266</v>
      </c>
      <c r="G779" s="2" t="s">
        <v>10</v>
      </c>
    </row>
  </sheetData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7A73-562F-4588-822C-A3260C04AB0B}">
  <dimension ref="A1:G17"/>
  <sheetViews>
    <sheetView tabSelected="1" workbookViewId="0">
      <selection activeCell="D14" sqref="D14"/>
    </sheetView>
  </sheetViews>
  <sheetFormatPr baseColWidth="10" defaultRowHeight="12.75" x14ac:dyDescent="0.35"/>
  <cols>
    <col min="1" max="1" width="13.6640625" bestFit="1" customWidth="1"/>
    <col min="2" max="2" width="16.796875" bestFit="1" customWidth="1"/>
    <col min="3" max="3" width="10.6640625" customWidth="1"/>
    <col min="4" max="4" width="11.796875" customWidth="1"/>
    <col min="5" max="5" width="13.19921875" bestFit="1" customWidth="1"/>
    <col min="6" max="6" width="15.1328125" bestFit="1" customWidth="1"/>
    <col min="7" max="7" width="15.33203125" bestFit="1" customWidth="1"/>
  </cols>
  <sheetData>
    <row r="1" spans="1:7" x14ac:dyDescent="0.35">
      <c r="A1" t="s">
        <v>3</v>
      </c>
      <c r="B1" t="s">
        <v>9</v>
      </c>
      <c r="E1" t="s">
        <v>1</v>
      </c>
      <c r="F1" t="s">
        <v>7</v>
      </c>
    </row>
    <row r="2" spans="1:7" x14ac:dyDescent="0.35">
      <c r="E2" t="s">
        <v>6</v>
      </c>
      <c r="F2" t="s">
        <v>26</v>
      </c>
    </row>
    <row r="3" spans="1:7" x14ac:dyDescent="0.35">
      <c r="A3" t="s">
        <v>1</v>
      </c>
      <c r="B3" t="s">
        <v>28</v>
      </c>
    </row>
    <row r="4" spans="1:7" x14ac:dyDescent="0.35">
      <c r="A4" t="s">
        <v>20</v>
      </c>
      <c r="B4">
        <f>COUNTIFS(T_FACTURAS[PROVINCIA],$B$1,T_FACTURAS[FECHA], "&lt;=31/12/2019",T_FACTURAS[CONCEPTO],A4)</f>
        <v>25</v>
      </c>
      <c r="E4" t="s">
        <v>2</v>
      </c>
      <c r="F4" t="s">
        <v>29</v>
      </c>
      <c r="G4" t="s">
        <v>30</v>
      </c>
    </row>
    <row r="5" spans="1:7" x14ac:dyDescent="0.35">
      <c r="A5" t="s">
        <v>7</v>
      </c>
      <c r="B5">
        <f>COUNTIFS(T_FACTURAS[PROVINCIA],$B$1,T_FACTURAS[FECHA], "&lt;=31/12/2019",T_FACTURAS[CONCEPTO],A5)</f>
        <v>23</v>
      </c>
      <c r="E5" t="s">
        <v>25</v>
      </c>
      <c r="F5">
        <f>SUMIFS(T_FACTURAS[IMPORTE],T_FACTURAS[CONCEPTO],$F$1,T_FACTURAS[PAGADA],$F$2,T_FACTURAS[CLIENTE],E5)</f>
        <v>600</v>
      </c>
      <c r="G5">
        <f>AVERAGEIFS(T_FACTURAS[IMPORTE],T_FACTURAS[CONCEPTO],$F$1,T_FACTURAS[PAGADA],$F$2,T_FACTURAS[CLIENTE],E5)</f>
        <v>300</v>
      </c>
    </row>
    <row r="6" spans="1:7" x14ac:dyDescent="0.35">
      <c r="A6" t="s">
        <v>14</v>
      </c>
      <c r="B6">
        <f>COUNTIFS(T_FACTURAS[PROVINCIA],$B$1,T_FACTURAS[FECHA], "&lt;=31/12/2019",T_FACTURAS[CONCEPTO],A6)</f>
        <v>28</v>
      </c>
      <c r="E6" t="s">
        <v>27</v>
      </c>
      <c r="F6">
        <f>SUMIFS(T_FACTURAS[IMPORTE],T_FACTURAS[CONCEPTO],$F$1,T_FACTURAS[PAGADA],$F$2,T_FACTURAS[CLIENTE],E6)</f>
        <v>650</v>
      </c>
      <c r="G6">
        <f>AVERAGEIFS(T_FACTURAS[IMPORTE],T_FACTURAS[CONCEPTO],$F$1,T_FACTURAS[PAGADA],$F$2,T_FACTURAS[CLIENTE],E6)</f>
        <v>325</v>
      </c>
    </row>
    <row r="7" spans="1:7" x14ac:dyDescent="0.35">
      <c r="A7" t="s">
        <v>18</v>
      </c>
      <c r="B7">
        <f>COUNTIFS(T_FACTURAS[PROVINCIA],$B$1,T_FACTURAS[FECHA], "&lt;=31/12/2019",T_FACTURAS[CONCEPTO],A7)</f>
        <v>12</v>
      </c>
      <c r="E7" t="s">
        <v>19</v>
      </c>
      <c r="F7">
        <f>SUMIFS(T_FACTURAS[IMPORTE],T_FACTURAS[CONCEPTO],$F$1,T_FACTURAS[PAGADA],$F$2,T_FACTURAS[CLIENTE],E7)</f>
        <v>1200</v>
      </c>
      <c r="G7">
        <f>AVERAGEIFS(T_FACTURAS[IMPORTE],T_FACTURAS[CONCEPTO],$F$1,T_FACTURAS[PAGADA],$F$2,T_FACTURAS[CLIENTE],E7)</f>
        <v>1200</v>
      </c>
    </row>
    <row r="8" spans="1:7" x14ac:dyDescent="0.35">
      <c r="A8" t="s">
        <v>16</v>
      </c>
      <c r="B8">
        <f>COUNTIFS(T_FACTURAS[PROVINCIA],$B$1,T_FACTURAS[FECHA], "&lt;=31/12/2019",T_FACTURAS[CONCEPTO],A8)</f>
        <v>11</v>
      </c>
      <c r="E8" t="s">
        <v>8</v>
      </c>
      <c r="F8">
        <f>SUMIFS(T_FACTURAS[IMPORTE],T_FACTURAS[CONCEPTO],$F$1,T_FACTURAS[PAGADA],$F$2,T_FACTURAS[CLIENTE],E8)</f>
        <v>5350</v>
      </c>
      <c r="G8">
        <f>AVERAGEIFS(T_FACTURAS[IMPORTE],T_FACTURAS[CONCEPTO],$F$1,T_FACTURAS[PAGADA],$F$2,T_FACTURAS[CLIENTE],E8)</f>
        <v>1783.3333333333333</v>
      </c>
    </row>
    <row r="9" spans="1:7" x14ac:dyDescent="0.35">
      <c r="A9" t="s">
        <v>11</v>
      </c>
      <c r="B9">
        <f>COUNTIFS(T_FACTURAS[PROVINCIA],$B$1,T_FACTURAS[FECHA], "&lt;=31/12/2019",T_FACTURAS[CONCEPTO],A9)</f>
        <v>27</v>
      </c>
      <c r="E9" t="s">
        <v>12</v>
      </c>
      <c r="F9">
        <f>SUMIFS(T_FACTURAS[IMPORTE],T_FACTURAS[CONCEPTO],$F$1,T_FACTURAS[PAGADA],$F$2,T_FACTURAS[CLIENTE],E9)</f>
        <v>18340</v>
      </c>
      <c r="G9">
        <f>AVERAGEIFS(T_FACTURAS[IMPORTE],T_FACTURAS[CONCEPTO],$F$1,T_FACTURAS[PAGADA],$F$2,T_FACTURAS[CLIENTE],E9)</f>
        <v>2037.7777777777778</v>
      </c>
    </row>
    <row r="10" spans="1:7" x14ac:dyDescent="0.35">
      <c r="E10" t="s">
        <v>15</v>
      </c>
      <c r="F10">
        <f>SUMIFS(T_FACTURAS[IMPORTE],T_FACTURAS[CONCEPTO],$F$1,T_FACTURAS[PAGADA],$F$2,T_FACTURAS[CLIENTE],E10)</f>
        <v>2750</v>
      </c>
      <c r="G10">
        <f>AVERAGEIFS(T_FACTURAS[IMPORTE],T_FACTURAS[CONCEPTO],$F$1,T_FACTURAS[PAGADA],$F$2,T_FACTURAS[CLIENTE],E10)</f>
        <v>687.5</v>
      </c>
    </row>
    <row r="11" spans="1:7" x14ac:dyDescent="0.35">
      <c r="B11" t="str">
        <f ca="1" xml:space="preserve"> _xlfn.FORMULATEXT(B4)</f>
        <v>=CONTAR.SI.CONJUNTO(T_FACTURAS[PROVINCIA],$B$1,T_FACTURAS[FECHA], "&lt;=31/12/2019",T_FACTURAS[CONCEPTO],A4)</v>
      </c>
      <c r="E11" t="s">
        <v>17</v>
      </c>
      <c r="F11">
        <f>SUMIFS(T_FACTURAS[IMPORTE],T_FACTURAS[CONCEPTO],$F$1,T_FACTURAS[PAGADA],$F$2,T_FACTURAS[CLIENTE],E11)</f>
        <v>1600</v>
      </c>
      <c r="G11">
        <f>AVERAGEIFS(T_FACTURAS[IMPORTE],T_FACTURAS[CONCEPTO],$F$1,T_FACTURAS[PAGADA],$F$2,T_FACTURAS[CLIENTE],E11)</f>
        <v>320</v>
      </c>
    </row>
    <row r="12" spans="1:7" x14ac:dyDescent="0.35">
      <c r="E12" t="s">
        <v>21</v>
      </c>
      <c r="F12">
        <f>SUMIFS(T_FACTURAS[IMPORTE],T_FACTURAS[CONCEPTO],$F$1,T_FACTURAS[PAGADA],$F$2,T_FACTURAS[CLIENTE],E12)</f>
        <v>5270</v>
      </c>
      <c r="G12">
        <f>AVERAGEIFS(T_FACTURAS[IMPORTE],T_FACTURAS[CONCEPTO],$F$1,T_FACTURAS[PAGADA],$F$2,T_FACTURAS[CLIENTE],E12)</f>
        <v>1317.5</v>
      </c>
    </row>
    <row r="13" spans="1:7" x14ac:dyDescent="0.35">
      <c r="E13" t="s">
        <v>23</v>
      </c>
      <c r="F13">
        <f>SUMIFS(T_FACTURAS[IMPORTE],T_FACTURAS[CONCEPTO],$F$1,T_FACTURAS[PAGADA],$F$2,T_FACTURAS[CLIENTE],E13)</f>
        <v>1790</v>
      </c>
      <c r="G13">
        <f>AVERAGEIFS(T_FACTURAS[IMPORTE],T_FACTURAS[CONCEPTO],$F$1,T_FACTURAS[PAGADA],$F$2,T_FACTURAS[CLIENTE],E13)</f>
        <v>447.5</v>
      </c>
    </row>
    <row r="14" spans="1:7" x14ac:dyDescent="0.35">
      <c r="E14" t="s">
        <v>24</v>
      </c>
      <c r="F14">
        <f>SUMIFS(T_FACTURAS[IMPORTE],T_FACTURAS[CONCEPTO],$F$1,T_FACTURAS[PAGADA],$F$2,T_FACTURAS[CLIENTE],E14)</f>
        <v>10200</v>
      </c>
      <c r="G14">
        <f>AVERAGEIFS(T_FACTURAS[IMPORTE],T_FACTURAS[CONCEPTO],$F$1,T_FACTURAS[PAGADA],$F$2,T_FACTURAS[CLIENTE],E14)</f>
        <v>1700</v>
      </c>
    </row>
    <row r="16" spans="1:7" x14ac:dyDescent="0.35">
      <c r="F16" t="str">
        <f ca="1">_xlfn.FORMULATEXT(F5)</f>
        <v>=SUMAR.SI.CONJUNTO(T_FACTURAS[IMPORTE],T_FACTURAS[CONCEPTO],$F$1,T_FACTURAS[PAGADA],$F$2,T_FACTURAS[CLIENTE],E5)</v>
      </c>
    </row>
    <row r="17" spans="6:6" x14ac:dyDescent="0.35">
      <c r="F17" t="str">
        <f ca="1">_xlfn.FORMULATEXT(G5)</f>
        <v>=PROMEDIO.SI.CONJUNTO(T_FACTURAS[IMPORTE],T_FACTURAS[CONCEPTO],$F$1,T_FACTURAS[PAGADA],$F$2,T_FACTURAS[CLIENTE],E5)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Carolina Carrera</cp:lastModifiedBy>
  <dcterms:created xsi:type="dcterms:W3CDTF">2025-03-16T16:12:42Z</dcterms:created>
  <dcterms:modified xsi:type="dcterms:W3CDTF">2026-04-23T15:50:19Z</dcterms:modified>
</cp:coreProperties>
</file>