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F8A74305-E60D-4F4A-B985-8164E8E010C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BUSCARX" sheetId="2" r:id="rId1"/>
    <sheet name="BUSCARX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G8" i="2"/>
  <c r="G5" i="2"/>
  <c r="G2" i="2"/>
  <c r="H11" i="2"/>
  <c r="H8" i="2"/>
  <c r="I5" i="2"/>
  <c r="H2" i="2"/>
</calcChain>
</file>

<file path=xl/sharedStrings.xml><?xml version="1.0" encoding="utf-8"?>
<sst xmlns="http://schemas.openxmlformats.org/spreadsheetml/2006/main" count="93" uniqueCount="22">
  <si>
    <t>REFERENCIA</t>
  </si>
  <si>
    <t>UBICACIÓN</t>
  </si>
  <si>
    <t>PRECIO</t>
  </si>
  <si>
    <t>MODELO</t>
  </si>
  <si>
    <t>C001</t>
  </si>
  <si>
    <t>PASILLO A</t>
  </si>
  <si>
    <t>C</t>
  </si>
  <si>
    <t>C002</t>
  </si>
  <si>
    <t>A</t>
  </si>
  <si>
    <t>C003</t>
  </si>
  <si>
    <t>B</t>
  </si>
  <si>
    <t>C004</t>
  </si>
  <si>
    <t>PASILLO B</t>
  </si>
  <si>
    <t>C005</t>
  </si>
  <si>
    <t>C006</t>
  </si>
  <si>
    <t>C007</t>
  </si>
  <si>
    <t>C008</t>
  </si>
  <si>
    <t>C009</t>
  </si>
  <si>
    <t>C010</t>
  </si>
  <si>
    <t>C011</t>
  </si>
  <si>
    <t>C012</t>
  </si>
  <si>
    <t>H020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</si>
</sst>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H12" sqref="H12"/>
    </sheetView>
  </sheetViews>
  <sheetFormatPr baseColWidth="10" defaultColWidth="11.46484375" defaultRowHeight="14.25" x14ac:dyDescent="0.45"/>
  <sheetData>
    <row r="1" spans="1:9" x14ac:dyDescent="0.45">
      <c r="A1" s="3" t="s">
        <v>1</v>
      </c>
      <c r="B1" s="3" t="s">
        <v>2</v>
      </c>
      <c r="C1" s="3" t="s">
        <v>0</v>
      </c>
      <c r="D1" s="3" t="s">
        <v>3</v>
      </c>
      <c r="F1" s="3" t="s">
        <v>0</v>
      </c>
      <c r="G1" s="4" t="s">
        <v>2</v>
      </c>
    </row>
    <row r="2" spans="1:9" x14ac:dyDescent="0.45">
      <c r="A2" t="s">
        <v>5</v>
      </c>
      <c r="B2" s="1">
        <v>30.24</v>
      </c>
      <c r="C2" t="s">
        <v>4</v>
      </c>
      <c r="D2" s="2" t="s">
        <v>6</v>
      </c>
      <c r="F2" t="s">
        <v>9</v>
      </c>
      <c r="G2" s="1">
        <f>_xlfn.XLOOKUP(F2,C2:C13,B2:B13)</f>
        <v>58</v>
      </c>
      <c r="H2" t="str">
        <f ca="1">_xlfn.FORMULATEXT(G2)</f>
        <v>=BUSCARX(F2,C2:C13,B2:B13)</v>
      </c>
    </row>
    <row r="3" spans="1:9" x14ac:dyDescent="0.45">
      <c r="A3" t="s">
        <v>5</v>
      </c>
      <c r="B3" s="1">
        <v>45.25</v>
      </c>
      <c r="C3" t="s">
        <v>7</v>
      </c>
      <c r="D3" s="2" t="s">
        <v>8</v>
      </c>
    </row>
    <row r="4" spans="1:9" x14ac:dyDescent="0.45">
      <c r="A4" t="s">
        <v>5</v>
      </c>
      <c r="B4" s="1">
        <v>58</v>
      </c>
      <c r="C4" t="s">
        <v>9</v>
      </c>
      <c r="D4" s="2" t="s">
        <v>10</v>
      </c>
      <c r="F4" s="3" t="s">
        <v>0</v>
      </c>
      <c r="G4" s="4" t="s">
        <v>2</v>
      </c>
    </row>
    <row r="5" spans="1:9" x14ac:dyDescent="0.45">
      <c r="A5" t="s">
        <v>12</v>
      </c>
      <c r="B5" s="1">
        <v>75.900000000000006</v>
      </c>
      <c r="C5" t="s">
        <v>11</v>
      </c>
      <c r="D5" s="2" t="s">
        <v>6</v>
      </c>
      <c r="F5" t="s">
        <v>21</v>
      </c>
      <c r="G5" s="1" t="str">
        <f>_xlfn.XLOOKUP(F5,C2:C13,B2:B13,"Referencia no encontrada")</f>
        <v>Referencia no encontrada</v>
      </c>
      <c r="I5" t="str">
        <f ca="1">_xlfn.FORMULATEXT(G5)</f>
        <v>=BUSCARX(F5,C2:C13,B2:B13,"Referencia no encontrada")</v>
      </c>
    </row>
    <row r="6" spans="1:9" x14ac:dyDescent="0.45">
      <c r="A6" t="s">
        <v>12</v>
      </c>
      <c r="B6" s="1">
        <v>62</v>
      </c>
      <c r="C6" t="s">
        <v>13</v>
      </c>
      <c r="D6" s="2" t="s">
        <v>10</v>
      </c>
    </row>
    <row r="7" spans="1:9" x14ac:dyDescent="0.45">
      <c r="A7" t="s">
        <v>12</v>
      </c>
      <c r="B7" s="1">
        <v>53</v>
      </c>
      <c r="C7" t="s">
        <v>14</v>
      </c>
      <c r="D7" s="2" t="s">
        <v>10</v>
      </c>
      <c r="F7" s="3" t="s">
        <v>0</v>
      </c>
      <c r="G7" s="3" t="s">
        <v>2</v>
      </c>
    </row>
    <row r="8" spans="1:9" x14ac:dyDescent="0.45">
      <c r="A8" t="s">
        <v>12</v>
      </c>
      <c r="B8" s="1">
        <v>62.3</v>
      </c>
      <c r="C8" t="s">
        <v>15</v>
      </c>
      <c r="D8" s="2" t="s">
        <v>10</v>
      </c>
      <c r="F8">
        <v>2</v>
      </c>
      <c r="G8" s="1">
        <f>_xlfn.XLOOKUP(_xlfn.CONCAT("*",F8),C2:C13,B2:B13,,2,-1)</f>
        <v>10</v>
      </c>
      <c r="H8" t="str">
        <f ca="1">_xlfn.FORMULATEXT(G8)</f>
        <v>=BUSCARX(CONCAT("*",F8),C2:C13,B2:B13,,2,-1)</v>
      </c>
    </row>
    <row r="9" spans="1:9" x14ac:dyDescent="0.45">
      <c r="A9" t="s">
        <v>12</v>
      </c>
      <c r="B9" s="1">
        <v>20</v>
      </c>
      <c r="C9" t="s">
        <v>16</v>
      </c>
      <c r="D9" s="2" t="s">
        <v>8</v>
      </c>
    </row>
    <row r="10" spans="1:9" x14ac:dyDescent="0.45">
      <c r="A10" t="s">
        <v>12</v>
      </c>
      <c r="B10" s="1">
        <v>128.25</v>
      </c>
      <c r="C10" t="s">
        <v>17</v>
      </c>
      <c r="D10" s="2" t="s">
        <v>8</v>
      </c>
      <c r="F10" s="3" t="s">
        <v>2</v>
      </c>
      <c r="G10" s="3" t="s">
        <v>0</v>
      </c>
    </row>
    <row r="11" spans="1:9" x14ac:dyDescent="0.45">
      <c r="A11" t="s">
        <v>5</v>
      </c>
      <c r="B11" s="1">
        <v>90.1</v>
      </c>
      <c r="C11" t="s">
        <v>18</v>
      </c>
      <c r="D11" s="2" t="s">
        <v>8</v>
      </c>
      <c r="F11" s="1">
        <v>100</v>
      </c>
      <c r="G11" t="str">
        <f>_xlfn.XLOOKUP(F11,B2:B13,C2:C13,,-1)</f>
        <v>C010</v>
      </c>
      <c r="H11" t="str">
        <f ca="1">_xlfn.FORMULATEXT(G11)</f>
        <v>=BUSCARX(F11,B2:B13,C2:C13,,-1)</v>
      </c>
    </row>
    <row r="12" spans="1:9" x14ac:dyDescent="0.45">
      <c r="A12" t="s">
        <v>5</v>
      </c>
      <c r="B12" s="1">
        <v>40</v>
      </c>
      <c r="C12" t="s">
        <v>19</v>
      </c>
      <c r="D12" s="2" t="s">
        <v>6</v>
      </c>
    </row>
    <row r="13" spans="1:9" x14ac:dyDescent="0.45">
      <c r="A13" t="s">
        <v>5</v>
      </c>
      <c r="B13" s="1">
        <v>10</v>
      </c>
      <c r="C13" t="s">
        <v>20</v>
      </c>
      <c r="D13" s="2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F928-087D-44AD-B082-D2F10EC96CFE}">
  <dimension ref="A1:M8"/>
  <sheetViews>
    <sheetView tabSelected="1" workbookViewId="0">
      <selection activeCell="B8" sqref="B8"/>
    </sheetView>
  </sheetViews>
  <sheetFormatPr baseColWidth="10" defaultRowHeight="14.25" x14ac:dyDescent="0.45"/>
  <cols>
    <col min="1" max="1" width="11.33203125" bestFit="1" customWidth="1"/>
    <col min="2" max="13" width="9.19921875" bestFit="1" customWidth="1"/>
  </cols>
  <sheetData>
    <row r="1" spans="1:13" x14ac:dyDescent="0.45">
      <c r="A1" s="4" t="s">
        <v>1</v>
      </c>
      <c r="B1" t="s">
        <v>5</v>
      </c>
      <c r="C1" t="s">
        <v>5</v>
      </c>
      <c r="D1" t="s">
        <v>5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5</v>
      </c>
      <c r="L1" t="s">
        <v>5</v>
      </c>
      <c r="M1" t="s">
        <v>5</v>
      </c>
    </row>
    <row r="2" spans="1:13" x14ac:dyDescent="0.45">
      <c r="A2" s="4" t="s">
        <v>2</v>
      </c>
      <c r="B2" s="1">
        <v>30.24</v>
      </c>
      <c r="C2" s="1">
        <v>45.25</v>
      </c>
      <c r="D2" s="1">
        <v>58</v>
      </c>
      <c r="E2" s="1">
        <v>75.900000000000006</v>
      </c>
      <c r="F2" s="1">
        <v>62</v>
      </c>
      <c r="G2" s="1">
        <v>53</v>
      </c>
      <c r="H2" s="1">
        <v>62.3</v>
      </c>
      <c r="I2" s="1">
        <v>20</v>
      </c>
      <c r="J2" s="1">
        <v>128.25</v>
      </c>
      <c r="K2" s="1">
        <v>90.1</v>
      </c>
      <c r="L2" s="1">
        <v>40</v>
      </c>
      <c r="M2" s="1">
        <v>10</v>
      </c>
    </row>
    <row r="3" spans="1:13" x14ac:dyDescent="0.45">
      <c r="A3" s="4" t="s">
        <v>0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45">
      <c r="A4" s="4" t="s">
        <v>3</v>
      </c>
      <c r="B4" s="2" t="s">
        <v>6</v>
      </c>
      <c r="C4" s="2" t="s">
        <v>8</v>
      </c>
      <c r="D4" s="2" t="s">
        <v>10</v>
      </c>
      <c r="E4" s="2" t="s">
        <v>6</v>
      </c>
      <c r="F4" s="2" t="s">
        <v>10</v>
      </c>
      <c r="G4" s="2" t="s">
        <v>10</v>
      </c>
      <c r="H4" s="2" t="s">
        <v>10</v>
      </c>
      <c r="I4" s="2" t="s">
        <v>8</v>
      </c>
      <c r="J4" s="2" t="s">
        <v>8</v>
      </c>
      <c r="K4" s="2" t="s">
        <v>8</v>
      </c>
      <c r="L4" s="2" t="s">
        <v>6</v>
      </c>
      <c r="M4" s="2" t="s">
        <v>6</v>
      </c>
    </row>
    <row r="7" spans="1:13" x14ac:dyDescent="0.45">
      <c r="A7" s="3" t="s">
        <v>0</v>
      </c>
      <c r="B7" t="s">
        <v>7</v>
      </c>
    </row>
    <row r="8" spans="1:13" x14ac:dyDescent="0.45">
      <c r="A8" s="4" t="s">
        <v>2</v>
      </c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BUSCARX</vt:lpstr>
      <vt:lpstr>BUSCARX2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Carolina Carrera</cp:lastModifiedBy>
  <cp:revision/>
  <dcterms:created xsi:type="dcterms:W3CDTF">2015-03-03T05:34:07Z</dcterms:created>
  <dcterms:modified xsi:type="dcterms:W3CDTF">2026-04-23T16:18:41Z</dcterms:modified>
  <cp:category/>
  <cp:contentStatus/>
</cp:coreProperties>
</file>