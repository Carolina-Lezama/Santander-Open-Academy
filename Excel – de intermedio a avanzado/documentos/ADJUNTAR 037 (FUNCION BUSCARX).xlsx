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i\OneDrive\Desktop\Santander-Open-Academy\Excel – de intermedio a avanzado\documentos\"/>
    </mc:Choice>
  </mc:AlternateContent>
  <xr:revisionPtr revIDLastSave="0" documentId="13_ncr:1_{BB3414AF-1316-43AF-8CFE-0A8D7C6A5EA2}" xr6:coauthVersionLast="47" xr6:coauthVersionMax="47" xr10:uidLastSave="{00000000-0000-0000-0000-000000000000}"/>
  <bookViews>
    <workbookView xWindow="-98" yWindow="-98" windowWidth="21795" windowHeight="12975" activeTab="3" xr2:uid="{00000000-000D-0000-FFFF-FFFF00000000}"/>
  </bookViews>
  <sheets>
    <sheet name="BUSCARX" sheetId="2" r:id="rId1"/>
    <sheet name="BUSCARX2" sheetId="4" r:id="rId2"/>
    <sheet name="Ejercicio" sheetId="5" r:id="rId3"/>
    <sheet name="ejercicio 2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2" i="6"/>
  <c r="G3" i="5"/>
  <c r="G4" i="5"/>
  <c r="G5" i="5"/>
  <c r="G6" i="5"/>
  <c r="G7" i="5"/>
  <c r="G8" i="5"/>
  <c r="G9" i="5"/>
  <c r="G2" i="5"/>
  <c r="B8" i="4"/>
  <c r="G11" i="2"/>
  <c r="G8" i="2"/>
  <c r="G5" i="2"/>
  <c r="G2" i="2"/>
  <c r="D9" i="6"/>
  <c r="D8" i="6"/>
  <c r="I2" i="5"/>
  <c r="H8" i="2"/>
  <c r="I5" i="2"/>
  <c r="H11" i="2"/>
  <c r="H2" i="2"/>
</calcChain>
</file>

<file path=xl/sharedStrings.xml><?xml version="1.0" encoding="utf-8"?>
<sst xmlns="http://schemas.openxmlformats.org/spreadsheetml/2006/main" count="156" uniqueCount="66">
  <si>
    <t>REFERENCIA</t>
  </si>
  <si>
    <t>UBICACIÓN</t>
  </si>
  <si>
    <t>PRECIO</t>
  </si>
  <si>
    <t>MODELO</t>
  </si>
  <si>
    <t>C001</t>
  </si>
  <si>
    <t>PASILLO A</t>
  </si>
  <si>
    <t>C</t>
  </si>
  <si>
    <t>C002</t>
  </si>
  <si>
    <t>A</t>
  </si>
  <si>
    <t>C003</t>
  </si>
  <si>
    <t>B</t>
  </si>
  <si>
    <t>C004</t>
  </si>
  <si>
    <t>PASILLO B</t>
  </si>
  <si>
    <t>C005</t>
  </si>
  <si>
    <t>C006</t>
  </si>
  <si>
    <t>C007</t>
  </si>
  <si>
    <t>C008</t>
  </si>
  <si>
    <t>C009</t>
  </si>
  <si>
    <t>C010</t>
  </si>
  <si>
    <t>C011</t>
  </si>
  <si>
    <t>C012</t>
  </si>
  <si>
    <t>H020</t>
  </si>
  <si>
    <t>ALUMNO</t>
  </si>
  <si>
    <t>EVA1</t>
  </si>
  <si>
    <t>EVA2</t>
  </si>
  <si>
    <t>EVA3</t>
  </si>
  <si>
    <t>EVA4</t>
  </si>
  <si>
    <t>MEDIA</t>
  </si>
  <si>
    <t>CALIFICACION</t>
  </si>
  <si>
    <t>AL001</t>
  </si>
  <si>
    <t>AL002</t>
  </si>
  <si>
    <t>AL003</t>
  </si>
  <si>
    <t>AL004</t>
  </si>
  <si>
    <t>AL005</t>
  </si>
  <si>
    <t>AL006</t>
  </si>
  <si>
    <t>AL007</t>
  </si>
  <si>
    <t>AL008</t>
  </si>
  <si>
    <t>NOTA</t>
  </si>
  <si>
    <t>MUY DEFICIENTE</t>
  </si>
  <si>
    <t>INSUFICIENTE</t>
  </si>
  <si>
    <t>SUFICIENTE</t>
  </si>
  <si>
    <t>NOTABLE</t>
  </si>
  <si>
    <t>SOBRESALIENTE</t>
  </si>
  <si>
    <t>GHJK</t>
  </si>
  <si>
    <t>FD</t>
  </si>
  <si>
    <t>ASD</t>
  </si>
  <si>
    <t>DFGH</t>
  </si>
  <si>
    <t>RTYU</t>
  </si>
  <si>
    <t>X</t>
  </si>
  <si>
    <t>GRIS</t>
  </si>
  <si>
    <t>MOD-005</t>
  </si>
  <si>
    <t>L</t>
  </si>
  <si>
    <t>AMARILLO</t>
  </si>
  <si>
    <t>MOD-004</t>
  </si>
  <si>
    <t>S</t>
  </si>
  <si>
    <t>VERDE</t>
  </si>
  <si>
    <t>MOD-003</t>
  </si>
  <si>
    <t>M</t>
  </si>
  <si>
    <t>ROJO</t>
  </si>
  <si>
    <t>MOD-002</t>
  </si>
  <si>
    <t>XL</t>
  </si>
  <si>
    <t>AZUL</t>
  </si>
  <si>
    <t>MOD-001</t>
  </si>
  <si>
    <t>TALLA</t>
  </si>
  <si>
    <t>COLOR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</si>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</sst>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</cellXfs>
  <cellStyles count="2">
    <cellStyle name="Mon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2CECE2-DFF7-4208-B12B-63954BF50F69}" name="T_CODIGOS" displayName="T_CODIGOS" ref="E1:H6" totalsRowShown="0" headerRowDxfId="0">
  <autoFilter ref="E1:H6" xr:uid="{F8DEF0B1-A729-4D14-8E5B-5A35F0DB510B}"/>
  <tableColumns count="4">
    <tableColumn id="1" xr3:uid="{D226A25D-0568-4237-9151-2FD10524505B}" name="CODIGO"/>
    <tableColumn id="2" xr3:uid="{936DCAA9-AF2A-4B14-9EC2-DE4431F8C1E3}" name="MODELO"/>
    <tableColumn id="3" xr3:uid="{46BCF270-21FF-403D-856D-FF870497DDA7}" name="COLOR"/>
    <tableColumn id="4" xr3:uid="{D07D2C1E-E03C-45C6-85D1-8C1051341E93}" name="TALL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H12" sqref="H12"/>
    </sheetView>
  </sheetViews>
  <sheetFormatPr baseColWidth="10" defaultColWidth="11.46484375" defaultRowHeight="14.25" x14ac:dyDescent="0.45"/>
  <sheetData>
    <row r="1" spans="1:9" x14ac:dyDescent="0.45">
      <c r="A1" s="3" t="s">
        <v>1</v>
      </c>
      <c r="B1" s="3" t="s">
        <v>2</v>
      </c>
      <c r="C1" s="3" t="s">
        <v>0</v>
      </c>
      <c r="D1" s="3" t="s">
        <v>3</v>
      </c>
      <c r="F1" s="3" t="s">
        <v>0</v>
      </c>
      <c r="G1" s="4" t="s">
        <v>2</v>
      </c>
    </row>
    <row r="2" spans="1:9" x14ac:dyDescent="0.45">
      <c r="A2" t="s">
        <v>5</v>
      </c>
      <c r="B2" s="1">
        <v>30.24</v>
      </c>
      <c r="C2" t="s">
        <v>4</v>
      </c>
      <c r="D2" s="2" t="s">
        <v>6</v>
      </c>
      <c r="F2" t="s">
        <v>9</v>
      </c>
      <c r="G2" s="1">
        <f>_xlfn.XLOOKUP(F2,C2:C13,B2:B13)</f>
        <v>58</v>
      </c>
      <c r="H2" t="str">
        <f ca="1">_xlfn.FORMULATEXT(G2)</f>
        <v>=BUSCARX(F2,C2:C13,B2:B13)</v>
      </c>
    </row>
    <row r="3" spans="1:9" x14ac:dyDescent="0.45">
      <c r="A3" t="s">
        <v>5</v>
      </c>
      <c r="B3" s="1">
        <v>45.25</v>
      </c>
      <c r="C3" t="s">
        <v>7</v>
      </c>
      <c r="D3" s="2" t="s">
        <v>8</v>
      </c>
    </row>
    <row r="4" spans="1:9" x14ac:dyDescent="0.45">
      <c r="A4" t="s">
        <v>5</v>
      </c>
      <c r="B4" s="1">
        <v>58</v>
      </c>
      <c r="C4" t="s">
        <v>9</v>
      </c>
      <c r="D4" s="2" t="s">
        <v>10</v>
      </c>
      <c r="F4" s="3" t="s">
        <v>0</v>
      </c>
      <c r="G4" s="4" t="s">
        <v>2</v>
      </c>
    </row>
    <row r="5" spans="1:9" x14ac:dyDescent="0.45">
      <c r="A5" t="s">
        <v>12</v>
      </c>
      <c r="B5" s="1">
        <v>75.900000000000006</v>
      </c>
      <c r="C5" t="s">
        <v>11</v>
      </c>
      <c r="D5" s="2" t="s">
        <v>6</v>
      </c>
      <c r="F5" t="s">
        <v>21</v>
      </c>
      <c r="G5" s="1" t="str">
        <f>_xlfn.XLOOKUP(F5,C2:C13,B2:B13,"Referencia no encontrada")</f>
        <v>Referencia no encontrada</v>
      </c>
      <c r="I5" t="str">
        <f ca="1">_xlfn.FORMULATEXT(G5)</f>
        <v>=BUSCARX(F5,C2:C13,B2:B13,"Referencia no encontrada")</v>
      </c>
    </row>
    <row r="6" spans="1:9" x14ac:dyDescent="0.45">
      <c r="A6" t="s">
        <v>12</v>
      </c>
      <c r="B6" s="1">
        <v>62</v>
      </c>
      <c r="C6" t="s">
        <v>13</v>
      </c>
      <c r="D6" s="2" t="s">
        <v>10</v>
      </c>
    </row>
    <row r="7" spans="1:9" x14ac:dyDescent="0.45">
      <c r="A7" t="s">
        <v>12</v>
      </c>
      <c r="B7" s="1">
        <v>53</v>
      </c>
      <c r="C7" t="s">
        <v>14</v>
      </c>
      <c r="D7" s="2" t="s">
        <v>10</v>
      </c>
      <c r="F7" s="3" t="s">
        <v>0</v>
      </c>
      <c r="G7" s="3" t="s">
        <v>2</v>
      </c>
    </row>
    <row r="8" spans="1:9" x14ac:dyDescent="0.45">
      <c r="A8" t="s">
        <v>12</v>
      </c>
      <c r="B8" s="1">
        <v>62.3</v>
      </c>
      <c r="C8" t="s">
        <v>15</v>
      </c>
      <c r="D8" s="2" t="s">
        <v>10</v>
      </c>
      <c r="F8">
        <v>2</v>
      </c>
      <c r="G8" s="1">
        <f>_xlfn.XLOOKUP(_xlfn.CONCAT("*",F8),C2:C13,B2:B13,,2,-1)</f>
        <v>10</v>
      </c>
      <c r="H8" t="str">
        <f ca="1">_xlfn.FORMULATEXT(G8)</f>
        <v>=BUSCARX(CONCAT("*",F8),C2:C13,B2:B13,,2,-1)</v>
      </c>
    </row>
    <row r="9" spans="1:9" x14ac:dyDescent="0.45">
      <c r="A9" t="s">
        <v>12</v>
      </c>
      <c r="B9" s="1">
        <v>20</v>
      </c>
      <c r="C9" t="s">
        <v>16</v>
      </c>
      <c r="D9" s="2" t="s">
        <v>8</v>
      </c>
    </row>
    <row r="10" spans="1:9" x14ac:dyDescent="0.45">
      <c r="A10" t="s">
        <v>12</v>
      </c>
      <c r="B10" s="1">
        <v>128.25</v>
      </c>
      <c r="C10" t="s">
        <v>17</v>
      </c>
      <c r="D10" s="2" t="s">
        <v>8</v>
      </c>
      <c r="F10" s="3" t="s">
        <v>2</v>
      </c>
      <c r="G10" s="3" t="s">
        <v>0</v>
      </c>
    </row>
    <row r="11" spans="1:9" x14ac:dyDescent="0.45">
      <c r="A11" t="s">
        <v>5</v>
      </c>
      <c r="B11" s="1">
        <v>90.1</v>
      </c>
      <c r="C11" t="s">
        <v>18</v>
      </c>
      <c r="D11" s="2" t="s">
        <v>8</v>
      </c>
      <c r="F11" s="1">
        <v>100</v>
      </c>
      <c r="G11" t="str">
        <f>_xlfn.XLOOKUP(F11,B2:B13,C2:C13,,-1)</f>
        <v>C010</v>
      </c>
      <c r="H11" t="str">
        <f ca="1">_xlfn.FORMULATEXT(G11)</f>
        <v>=BUSCARX(F11,B2:B13,C2:C13,,-1)</v>
      </c>
    </row>
    <row r="12" spans="1:9" x14ac:dyDescent="0.45">
      <c r="A12" t="s">
        <v>5</v>
      </c>
      <c r="B12" s="1">
        <v>40</v>
      </c>
      <c r="C12" t="s">
        <v>19</v>
      </c>
      <c r="D12" s="2" t="s">
        <v>6</v>
      </c>
    </row>
    <row r="13" spans="1:9" x14ac:dyDescent="0.45">
      <c r="A13" t="s">
        <v>5</v>
      </c>
      <c r="B13" s="1">
        <v>10</v>
      </c>
      <c r="C13" t="s">
        <v>20</v>
      </c>
      <c r="D13" s="2" t="s">
        <v>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5F928-087D-44AD-B082-D2F10EC96CFE}">
  <dimension ref="A1:M8"/>
  <sheetViews>
    <sheetView topLeftCell="A7" workbookViewId="0">
      <selection activeCell="B13" sqref="B13"/>
    </sheetView>
  </sheetViews>
  <sheetFormatPr baseColWidth="10" defaultRowHeight="14.25" x14ac:dyDescent="0.45"/>
  <cols>
    <col min="1" max="1" width="11.33203125" bestFit="1" customWidth="1"/>
    <col min="2" max="13" width="9.19921875" bestFit="1" customWidth="1"/>
  </cols>
  <sheetData>
    <row r="1" spans="1:13" x14ac:dyDescent="0.45">
      <c r="A1" s="4" t="s">
        <v>1</v>
      </c>
      <c r="B1" t="s">
        <v>5</v>
      </c>
      <c r="C1" t="s">
        <v>5</v>
      </c>
      <c r="D1" t="s">
        <v>5</v>
      </c>
      <c r="E1" t="s">
        <v>12</v>
      </c>
      <c r="F1" t="s">
        <v>12</v>
      </c>
      <c r="G1" t="s">
        <v>12</v>
      </c>
      <c r="H1" t="s">
        <v>12</v>
      </c>
      <c r="I1" t="s">
        <v>12</v>
      </c>
      <c r="J1" t="s">
        <v>12</v>
      </c>
      <c r="K1" t="s">
        <v>5</v>
      </c>
      <c r="L1" t="s">
        <v>5</v>
      </c>
      <c r="M1" t="s">
        <v>5</v>
      </c>
    </row>
    <row r="2" spans="1:13" x14ac:dyDescent="0.45">
      <c r="A2" s="4" t="s">
        <v>2</v>
      </c>
      <c r="B2" s="1">
        <v>30.24</v>
      </c>
      <c r="C2" s="1">
        <v>45.25</v>
      </c>
      <c r="D2" s="1">
        <v>58</v>
      </c>
      <c r="E2" s="1">
        <v>75.900000000000006</v>
      </c>
      <c r="F2" s="1">
        <v>62</v>
      </c>
      <c r="G2" s="1">
        <v>53</v>
      </c>
      <c r="H2" s="1">
        <v>62.3</v>
      </c>
      <c r="I2" s="1">
        <v>20</v>
      </c>
      <c r="J2" s="1">
        <v>128.25</v>
      </c>
      <c r="K2" s="1">
        <v>90.1</v>
      </c>
      <c r="L2" s="1">
        <v>40</v>
      </c>
      <c r="M2" s="1">
        <v>10</v>
      </c>
    </row>
    <row r="3" spans="1:13" x14ac:dyDescent="0.45">
      <c r="A3" s="4" t="s">
        <v>0</v>
      </c>
      <c r="B3" t="s">
        <v>4</v>
      </c>
      <c r="C3" t="s">
        <v>7</v>
      </c>
      <c r="D3" t="s">
        <v>9</v>
      </c>
      <c r="E3" t="s">
        <v>11</v>
      </c>
      <c r="F3" t="s">
        <v>13</v>
      </c>
      <c r="G3" t="s">
        <v>14</v>
      </c>
      <c r="H3" t="s">
        <v>15</v>
      </c>
      <c r="I3" t="s">
        <v>16</v>
      </c>
      <c r="J3" t="s">
        <v>17</v>
      </c>
      <c r="K3" t="s">
        <v>18</v>
      </c>
      <c r="L3" t="s">
        <v>19</v>
      </c>
      <c r="M3" t="s">
        <v>20</v>
      </c>
    </row>
    <row r="4" spans="1:13" x14ac:dyDescent="0.45">
      <c r="A4" s="4" t="s">
        <v>3</v>
      </c>
      <c r="B4" s="2" t="s">
        <v>6</v>
      </c>
      <c r="C4" s="2" t="s">
        <v>8</v>
      </c>
      <c r="D4" s="2" t="s">
        <v>10</v>
      </c>
      <c r="E4" s="2" t="s">
        <v>6</v>
      </c>
      <c r="F4" s="2" t="s">
        <v>10</v>
      </c>
      <c r="G4" s="2" t="s">
        <v>10</v>
      </c>
      <c r="H4" s="2" t="s">
        <v>10</v>
      </c>
      <c r="I4" s="2" t="s">
        <v>8</v>
      </c>
      <c r="J4" s="2" t="s">
        <v>8</v>
      </c>
      <c r="K4" s="2" t="s">
        <v>8</v>
      </c>
      <c r="L4" s="2" t="s">
        <v>6</v>
      </c>
      <c r="M4" s="2" t="s">
        <v>6</v>
      </c>
    </row>
    <row r="7" spans="1:13" x14ac:dyDescent="0.45">
      <c r="A7" s="3" t="s">
        <v>0</v>
      </c>
      <c r="B7" t="s">
        <v>7</v>
      </c>
    </row>
    <row r="8" spans="1:13" x14ac:dyDescent="0.45">
      <c r="A8" s="4" t="s">
        <v>2</v>
      </c>
      <c r="B8" s="1">
        <f>_xlfn.XLOOKUP(B7,B3:M3,B2:M2,"No encontrada",0)</f>
        <v>45.25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3BD12-F4AA-460A-ADA3-2F1DFA27F0BF}">
  <dimension ref="A1:I18"/>
  <sheetViews>
    <sheetView workbookViewId="0">
      <selection activeCell="I3" sqref="I3"/>
    </sheetView>
  </sheetViews>
  <sheetFormatPr baseColWidth="10" defaultRowHeight="14.25" x14ac:dyDescent="0.45"/>
  <cols>
    <col min="1" max="1" width="11.9296875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</row>
    <row r="2" spans="1:9" x14ac:dyDescent="0.45">
      <c r="A2" t="s">
        <v>29</v>
      </c>
      <c r="B2">
        <v>2.5</v>
      </c>
      <c r="C2">
        <v>5</v>
      </c>
      <c r="D2">
        <v>7.5</v>
      </c>
      <c r="E2">
        <v>4</v>
      </c>
      <c r="F2">
        <v>4.75</v>
      </c>
      <c r="G2" t="str">
        <f>_xlfn.XLOOKUP(F2,$B$14:$B$18,$A$14:$A$18,,-1)</f>
        <v>SUFICIENTE</v>
      </c>
      <c r="I2" t="str">
        <f ca="1">_xlfn.FORMULATEXT(G2)</f>
        <v>=BUSCARX(F2,$B$14:$B$18,$A$14:$A$18,,-1)</v>
      </c>
    </row>
    <row r="3" spans="1:9" x14ac:dyDescent="0.45">
      <c r="A3" t="s">
        <v>30</v>
      </c>
      <c r="B3">
        <v>6</v>
      </c>
      <c r="C3">
        <v>8</v>
      </c>
      <c r="D3">
        <v>7.5</v>
      </c>
      <c r="E3">
        <v>9</v>
      </c>
      <c r="F3">
        <v>7.625</v>
      </c>
      <c r="G3" t="str">
        <f t="shared" ref="G3:G9" si="0">_xlfn.XLOOKUP(F3,$B$14:$B$18,$A$14:$A$18,,-1)</f>
        <v>NOTABLE</v>
      </c>
    </row>
    <row r="4" spans="1:9" x14ac:dyDescent="0.45">
      <c r="A4" t="s">
        <v>31</v>
      </c>
      <c r="B4">
        <v>10</v>
      </c>
      <c r="C4">
        <v>8</v>
      </c>
      <c r="D4">
        <v>6.5</v>
      </c>
      <c r="E4">
        <v>9.5</v>
      </c>
      <c r="F4">
        <v>8.5</v>
      </c>
      <c r="G4" t="str">
        <f t="shared" si="0"/>
        <v>SOBRESALIENTE</v>
      </c>
    </row>
    <row r="5" spans="1:9" x14ac:dyDescent="0.45">
      <c r="A5" t="s">
        <v>32</v>
      </c>
      <c r="B5">
        <v>1.5</v>
      </c>
      <c r="C5">
        <v>2.5</v>
      </c>
      <c r="D5">
        <v>3</v>
      </c>
      <c r="E5">
        <v>6</v>
      </c>
      <c r="F5">
        <v>3.25</v>
      </c>
      <c r="G5" t="str">
        <f t="shared" si="0"/>
        <v>INSUFICIENTE</v>
      </c>
    </row>
    <row r="6" spans="1:9" x14ac:dyDescent="0.45">
      <c r="A6" t="s">
        <v>33</v>
      </c>
      <c r="B6">
        <v>8.5</v>
      </c>
      <c r="C6">
        <v>5.5</v>
      </c>
      <c r="D6">
        <v>6</v>
      </c>
      <c r="E6">
        <v>7</v>
      </c>
      <c r="F6">
        <v>6.75</v>
      </c>
      <c r="G6" t="str">
        <f t="shared" si="0"/>
        <v>NOTABLE</v>
      </c>
    </row>
    <row r="7" spans="1:9" x14ac:dyDescent="0.45">
      <c r="A7" t="s">
        <v>34</v>
      </c>
      <c r="B7">
        <v>3</v>
      </c>
      <c r="C7">
        <v>2</v>
      </c>
      <c r="D7">
        <v>1</v>
      </c>
      <c r="E7">
        <v>1</v>
      </c>
      <c r="F7">
        <v>1.75</v>
      </c>
      <c r="G7" t="str">
        <f t="shared" si="0"/>
        <v>MUY DEFICIENTE</v>
      </c>
    </row>
    <row r="8" spans="1:9" x14ac:dyDescent="0.45">
      <c r="A8" t="s">
        <v>35</v>
      </c>
      <c r="B8">
        <v>5</v>
      </c>
      <c r="C8">
        <v>6</v>
      </c>
      <c r="D8">
        <v>8</v>
      </c>
      <c r="E8">
        <v>10</v>
      </c>
      <c r="F8">
        <v>7.25</v>
      </c>
      <c r="G8" t="str">
        <f t="shared" si="0"/>
        <v>NOTABLE</v>
      </c>
    </row>
    <row r="9" spans="1:9" x14ac:dyDescent="0.45">
      <c r="A9" t="s">
        <v>36</v>
      </c>
      <c r="B9">
        <v>1.5</v>
      </c>
      <c r="C9">
        <v>2.5</v>
      </c>
      <c r="D9">
        <v>1.5</v>
      </c>
      <c r="E9">
        <v>1</v>
      </c>
      <c r="F9">
        <v>1.625</v>
      </c>
      <c r="G9" t="str">
        <f t="shared" si="0"/>
        <v>MUY DEFICIENTE</v>
      </c>
    </row>
    <row r="13" spans="1:9" x14ac:dyDescent="0.45">
      <c r="A13" t="s">
        <v>28</v>
      </c>
      <c r="B13" t="s">
        <v>37</v>
      </c>
    </row>
    <row r="14" spans="1:9" x14ac:dyDescent="0.45">
      <c r="A14" t="s">
        <v>38</v>
      </c>
      <c r="B14">
        <v>0</v>
      </c>
    </row>
    <row r="15" spans="1:9" x14ac:dyDescent="0.45">
      <c r="A15" t="s">
        <v>39</v>
      </c>
      <c r="B15">
        <v>2</v>
      </c>
    </row>
    <row r="16" spans="1:9" x14ac:dyDescent="0.45">
      <c r="A16" t="s">
        <v>40</v>
      </c>
      <c r="B16">
        <v>4.5</v>
      </c>
    </row>
    <row r="17" spans="1:2" x14ac:dyDescent="0.45">
      <c r="A17" t="s">
        <v>41</v>
      </c>
      <c r="B17">
        <v>6.5</v>
      </c>
    </row>
    <row r="18" spans="1:2" x14ac:dyDescent="0.45">
      <c r="A18" t="s">
        <v>42</v>
      </c>
      <c r="B18">
        <v>8.5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0C6BB-8FCA-407C-B740-8E7EF7416C53}">
  <dimension ref="A1:H15"/>
  <sheetViews>
    <sheetView tabSelected="1" workbookViewId="0">
      <selection activeCell="G15" sqref="G15"/>
    </sheetView>
  </sheetViews>
  <sheetFormatPr baseColWidth="10" defaultRowHeight="14.25" x14ac:dyDescent="0.45"/>
  <sheetData>
    <row r="1" spans="1:8" x14ac:dyDescent="0.45">
      <c r="A1" s="3" t="s">
        <v>65</v>
      </c>
      <c r="B1" s="3" t="s">
        <v>3</v>
      </c>
      <c r="C1" s="3" t="s">
        <v>63</v>
      </c>
      <c r="E1" s="3" t="s">
        <v>65</v>
      </c>
      <c r="F1" s="3" t="s">
        <v>3</v>
      </c>
      <c r="G1" s="3" t="s">
        <v>64</v>
      </c>
      <c r="H1" s="3" t="s">
        <v>63</v>
      </c>
    </row>
    <row r="2" spans="1:8" x14ac:dyDescent="0.45">
      <c r="A2" t="s">
        <v>47</v>
      </c>
      <c r="B2" t="str">
        <f>_xlfn.XLOOKUP(A2,T_CODIGOS[CODIGO],T_CODIGOS[MODELO])</f>
        <v>MOD-004</v>
      </c>
      <c r="C2" t="str">
        <f>LOOKUP(A2,T_CODIGOS[CODIGO],T_CODIGOS[TALLA])</f>
        <v>L</v>
      </c>
      <c r="E2" t="s">
        <v>45</v>
      </c>
      <c r="F2" t="s">
        <v>62</v>
      </c>
      <c r="G2" t="s">
        <v>61</v>
      </c>
      <c r="H2" t="s">
        <v>60</v>
      </c>
    </row>
    <row r="3" spans="1:8" x14ac:dyDescent="0.45">
      <c r="A3" t="s">
        <v>46</v>
      </c>
      <c r="B3" t="str">
        <f>_xlfn.XLOOKUP(A3,T_CODIGOS[CODIGO],T_CODIGOS[MODELO])</f>
        <v>MOD-005</v>
      </c>
      <c r="C3" t="str">
        <f>LOOKUP(A3,T_CODIGOS[CODIGO],T_CODIGOS[TALLA])</f>
        <v>XL</v>
      </c>
      <c r="E3" t="s">
        <v>44</v>
      </c>
      <c r="F3" t="s">
        <v>59</v>
      </c>
      <c r="G3" t="s">
        <v>58</v>
      </c>
      <c r="H3" t="s">
        <v>57</v>
      </c>
    </row>
    <row r="4" spans="1:8" x14ac:dyDescent="0.45">
      <c r="A4" t="s">
        <v>44</v>
      </c>
      <c r="B4" t="str">
        <f>_xlfn.XLOOKUP(A4,T_CODIGOS[CODIGO],T_CODIGOS[MODELO])</f>
        <v>MOD-002</v>
      </c>
      <c r="C4" t="str">
        <f>LOOKUP(A4,T_CODIGOS[CODIGO],T_CODIGOS[TALLA])</f>
        <v>M</v>
      </c>
      <c r="E4" t="s">
        <v>43</v>
      </c>
      <c r="F4" t="s">
        <v>56</v>
      </c>
      <c r="G4" t="s">
        <v>55</v>
      </c>
      <c r="H4" t="s">
        <v>54</v>
      </c>
    </row>
    <row r="5" spans="1:8" x14ac:dyDescent="0.45">
      <c r="A5" t="s">
        <v>47</v>
      </c>
      <c r="B5" t="str">
        <f>_xlfn.XLOOKUP(A5,T_CODIGOS[CODIGO],T_CODIGOS[MODELO])</f>
        <v>MOD-004</v>
      </c>
      <c r="C5" t="str">
        <f>LOOKUP(A5,T_CODIGOS[CODIGO],T_CODIGOS[TALLA])</f>
        <v>L</v>
      </c>
      <c r="E5" t="s">
        <v>47</v>
      </c>
      <c r="F5" t="s">
        <v>53</v>
      </c>
      <c r="G5" t="s">
        <v>52</v>
      </c>
      <c r="H5" t="s">
        <v>51</v>
      </c>
    </row>
    <row r="6" spans="1:8" x14ac:dyDescent="0.45">
      <c r="A6" t="s">
        <v>46</v>
      </c>
      <c r="B6" t="str">
        <f>_xlfn.XLOOKUP(A6,T_CODIGOS[CODIGO],T_CODIGOS[MODELO])</f>
        <v>MOD-005</v>
      </c>
      <c r="C6" t="str">
        <f>LOOKUP(A6,T_CODIGOS[CODIGO],T_CODIGOS[TALLA])</f>
        <v>XL</v>
      </c>
      <c r="E6" t="s">
        <v>46</v>
      </c>
      <c r="F6" t="s">
        <v>50</v>
      </c>
      <c r="G6" t="s">
        <v>49</v>
      </c>
      <c r="H6" t="s">
        <v>48</v>
      </c>
    </row>
    <row r="7" spans="1:8" x14ac:dyDescent="0.45">
      <c r="A7" t="s">
        <v>44</v>
      </c>
      <c r="B7" t="str">
        <f>_xlfn.XLOOKUP(A7,T_CODIGOS[CODIGO],T_CODIGOS[MODELO])</f>
        <v>MOD-002</v>
      </c>
      <c r="C7" t="str">
        <f>LOOKUP(A7,T_CODIGOS[CODIGO],T_CODIGOS[TALLA])</f>
        <v>M</v>
      </c>
    </row>
    <row r="8" spans="1:8" x14ac:dyDescent="0.45">
      <c r="A8" t="s">
        <v>43</v>
      </c>
      <c r="B8" t="str">
        <f>_xlfn.XLOOKUP(A8,T_CODIGOS[CODIGO],T_CODIGOS[MODELO])</f>
        <v>MOD-003</v>
      </c>
      <c r="C8" t="str">
        <f>LOOKUP(A8,T_CODIGOS[CODIGO],T_CODIGOS[TALLA])</f>
        <v>S</v>
      </c>
      <c r="D8" t="str">
        <f ca="1">_xlfn.FORMULATEXT(B2)</f>
        <v>=BUSCARX(A2,T_CODIGOS[CODIGO],T_CODIGOS[MODELO])</v>
      </c>
    </row>
    <row r="9" spans="1:8" x14ac:dyDescent="0.45">
      <c r="A9" t="s">
        <v>47</v>
      </c>
      <c r="B9" t="str">
        <f>_xlfn.XLOOKUP(A9,T_CODIGOS[CODIGO],T_CODIGOS[MODELO])</f>
        <v>MOD-004</v>
      </c>
      <c r="C9" t="str">
        <f>LOOKUP(A9,T_CODIGOS[CODIGO],T_CODIGOS[TALLA])</f>
        <v>L</v>
      </c>
      <c r="D9" t="str">
        <f ca="1">_xlfn.FORMULATEXT(C2)</f>
        <v>=BUSCAR(A2,T_CODIGOS[CODIGO],T_CODIGOS[TALLA])</v>
      </c>
    </row>
    <row r="10" spans="1:8" x14ac:dyDescent="0.45">
      <c r="A10" t="s">
        <v>43</v>
      </c>
      <c r="B10" t="str">
        <f>_xlfn.XLOOKUP(A10,T_CODIGOS[CODIGO],T_CODIGOS[MODELO])</f>
        <v>MOD-003</v>
      </c>
      <c r="C10" t="str">
        <f>LOOKUP(A10,T_CODIGOS[CODIGO],T_CODIGOS[TALLA])</f>
        <v>S</v>
      </c>
    </row>
    <row r="11" spans="1:8" x14ac:dyDescent="0.45">
      <c r="A11" t="s">
        <v>47</v>
      </c>
      <c r="B11" t="str">
        <f>_xlfn.XLOOKUP(A11,T_CODIGOS[CODIGO],T_CODIGOS[MODELO])</f>
        <v>MOD-004</v>
      </c>
      <c r="C11" t="str">
        <f>LOOKUP(A11,T_CODIGOS[CODIGO],T_CODIGOS[TALLA])</f>
        <v>L</v>
      </c>
    </row>
    <row r="12" spans="1:8" x14ac:dyDescent="0.45">
      <c r="A12" t="s">
        <v>46</v>
      </c>
      <c r="B12" t="str">
        <f>_xlfn.XLOOKUP(A12,T_CODIGOS[CODIGO],T_CODIGOS[MODELO])</f>
        <v>MOD-005</v>
      </c>
      <c r="C12" t="str">
        <f>LOOKUP(A12,T_CODIGOS[CODIGO],T_CODIGOS[TALLA])</f>
        <v>XL</v>
      </c>
    </row>
    <row r="13" spans="1:8" x14ac:dyDescent="0.45">
      <c r="A13" t="s">
        <v>45</v>
      </c>
      <c r="B13" t="str">
        <f>_xlfn.XLOOKUP(A13,T_CODIGOS[CODIGO],T_CODIGOS[MODELO])</f>
        <v>MOD-001</v>
      </c>
      <c r="C13" t="str">
        <f>LOOKUP(A13,T_CODIGOS[CODIGO],T_CODIGOS[TALLA])</f>
        <v>XL</v>
      </c>
    </row>
    <row r="14" spans="1:8" x14ac:dyDescent="0.45">
      <c r="A14" t="s">
        <v>44</v>
      </c>
      <c r="B14" t="str">
        <f>_xlfn.XLOOKUP(A14,T_CODIGOS[CODIGO],T_CODIGOS[MODELO])</f>
        <v>MOD-002</v>
      </c>
      <c r="C14" t="str">
        <f>LOOKUP(A14,T_CODIGOS[CODIGO],T_CODIGOS[TALLA])</f>
        <v>M</v>
      </c>
    </row>
    <row r="15" spans="1:8" x14ac:dyDescent="0.45">
      <c r="A15" t="s">
        <v>43</v>
      </c>
      <c r="B15" t="str">
        <f>_xlfn.XLOOKUP(A15,T_CODIGOS[CODIGO],T_CODIGOS[MODELO])</f>
        <v>MOD-003</v>
      </c>
      <c r="C15" t="str">
        <f>LOOKUP(A15,T_CODIGOS[CODIGO],T_CODIGOS[TALLA])</f>
        <v>S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BUSCARX</vt:lpstr>
      <vt:lpstr>BUSCARX2</vt:lpstr>
      <vt:lpstr>Ejercicio</vt:lpstr>
      <vt:lpstr>ejercicio 2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CM</dc:creator>
  <cp:keywords/>
  <dc:description/>
  <cp:lastModifiedBy>Carolina Carrera</cp:lastModifiedBy>
  <cp:revision/>
  <dcterms:created xsi:type="dcterms:W3CDTF">2015-03-03T05:34:07Z</dcterms:created>
  <dcterms:modified xsi:type="dcterms:W3CDTF">2026-04-24T15:15:51Z</dcterms:modified>
  <cp:category/>
  <cp:contentStatus/>
</cp:coreProperties>
</file>