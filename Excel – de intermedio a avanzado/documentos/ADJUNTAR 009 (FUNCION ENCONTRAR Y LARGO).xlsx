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i\Downloads\"/>
    </mc:Choice>
  </mc:AlternateContent>
  <xr:revisionPtr revIDLastSave="0" documentId="13_ncr:1_{C63AE0F2-0062-44DD-97E3-106E88ECC5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2" i="1"/>
  <c r="F23" i="1"/>
  <c r="F24" i="1"/>
  <c r="F25" i="1"/>
  <c r="F26" i="1"/>
  <c r="F22" i="1"/>
  <c r="D23" i="1"/>
  <c r="D24" i="1"/>
  <c r="D25" i="1"/>
  <c r="D26" i="1"/>
  <c r="D22" i="1"/>
  <c r="E12" i="1"/>
  <c r="E13" i="1"/>
  <c r="E14" i="1"/>
  <c r="E15" i="1"/>
  <c r="E16" i="1"/>
  <c r="E11" i="1"/>
  <c r="D12" i="1"/>
  <c r="D13" i="1"/>
  <c r="D14" i="1"/>
  <c r="D15" i="1"/>
  <c r="D16" i="1"/>
  <c r="D11" i="1"/>
  <c r="B12" i="1"/>
  <c r="C12" i="1" s="1"/>
  <c r="F12" i="1" s="1"/>
  <c r="B13" i="1"/>
  <c r="B14" i="1"/>
  <c r="B15" i="1"/>
  <c r="B16" i="1"/>
  <c r="B11" i="1"/>
  <c r="D2" i="1"/>
  <c r="G2" i="1" s="1"/>
  <c r="D3" i="1"/>
  <c r="G3" i="1" s="1"/>
  <c r="D4" i="1"/>
  <c r="G4" i="1" s="1"/>
  <c r="D5" i="1"/>
  <c r="G5" i="1" s="1"/>
  <c r="D6" i="1"/>
  <c r="G6" i="1" s="1"/>
  <c r="C2" i="1"/>
  <c r="C3" i="1"/>
  <c r="F3" i="1" s="1"/>
  <c r="C4" i="1"/>
  <c r="F4" i="1" s="1"/>
  <c r="C5" i="1"/>
  <c r="F5" i="1" s="1"/>
  <c r="C6" i="1"/>
  <c r="F6" i="1" s="1"/>
  <c r="B3" i="1"/>
  <c r="E3" i="1" s="1"/>
  <c r="B4" i="1"/>
  <c r="E4" i="1" s="1"/>
  <c r="B5" i="1"/>
  <c r="E5" i="1" s="1"/>
  <c r="B6" i="1"/>
  <c r="E6" i="1" s="1"/>
  <c r="B2" i="1"/>
  <c r="F2" i="1" s="1"/>
  <c r="D28" i="1"/>
  <c r="G28" i="1"/>
  <c r="F28" i="1"/>
  <c r="E28" i="1"/>
  <c r="F18" i="1"/>
  <c r="E18" i="1"/>
  <c r="F7" i="1"/>
  <c r="E7" i="1"/>
  <c r="G18" i="1"/>
  <c r="G7" i="1"/>
  <c r="F13" i="1" l="1"/>
  <c r="G12" i="1"/>
  <c r="H12" i="1" s="1"/>
  <c r="F16" i="1"/>
  <c r="E2" i="1"/>
  <c r="C14" i="1"/>
  <c r="F14" i="1" s="1"/>
  <c r="C11" i="1"/>
  <c r="G11" i="1" s="1"/>
  <c r="H11" i="1" s="1"/>
  <c r="C16" i="1"/>
  <c r="G16" i="1" s="1"/>
  <c r="H16" i="1" s="1"/>
  <c r="C15" i="1"/>
  <c r="F15" i="1" s="1"/>
  <c r="C13" i="1"/>
  <c r="G13" i="1" s="1"/>
  <c r="H13" i="1" s="1"/>
  <c r="F11" i="1" l="1"/>
  <c r="G15" i="1"/>
  <c r="H15" i="1" s="1"/>
  <c r="G14" i="1"/>
  <c r="H14" i="1" s="1"/>
</calcChain>
</file>

<file path=xl/sharedStrings.xml><?xml version="1.0" encoding="utf-8"?>
<sst xmlns="http://schemas.openxmlformats.org/spreadsheetml/2006/main" count="55" uniqueCount="52">
  <si>
    <t>NOMBRE</t>
  </si>
  <si>
    <t>ALEJANDRO MARTINEZ ALONSO</t>
  </si>
  <si>
    <t>fernando pérez lópez</t>
  </si>
  <si>
    <t>Sandra MARTINEZ COBO</t>
  </si>
  <si>
    <t>Cristina sánchez Morán</t>
  </si>
  <si>
    <t>bernardo alfonso garcía</t>
  </si>
  <si>
    <t>POS ESP1</t>
  </si>
  <si>
    <t>POS ESP2</t>
  </si>
  <si>
    <t>LARGO</t>
  </si>
  <si>
    <t>APELLIDO1</t>
  </si>
  <si>
    <t>APELLIDO2</t>
  </si>
  <si>
    <t>DESCRIPCION</t>
  </si>
  <si>
    <t>GUION 1</t>
  </si>
  <si>
    <t>GUION 2</t>
  </si>
  <si>
    <t>ULT CARÁCTER</t>
  </si>
  <si>
    <t>ARTICULO</t>
  </si>
  <si>
    <t>MODELO</t>
  </si>
  <si>
    <t>POTENCIA</t>
  </si>
  <si>
    <t>PLACA BASE-XATI-3</t>
  </si>
  <si>
    <t>PLACA BASE-XTA-2</t>
  </si>
  <si>
    <t>DISCO-UD-16</t>
  </si>
  <si>
    <t>DISCO-UMD-20</t>
  </si>
  <si>
    <t>MEMORIA-RAM-128</t>
  </si>
  <si>
    <t>MEMORIA-RAM-256</t>
  </si>
  <si>
    <t>EJERCICIO</t>
  </si>
  <si>
    <t>VALOR</t>
  </si>
  <si>
    <t>APELLIDO 1</t>
  </si>
  <si>
    <t>APELLIDO 2</t>
  </si>
  <si>
    <t>NOMBRE COMPLETO</t>
  </si>
  <si>
    <t>EMAIL</t>
  </si>
  <si>
    <t>USUARIO</t>
  </si>
  <si>
    <t>DOMINIO</t>
  </si>
  <si>
    <t>ALEJANDRO</t>
  </si>
  <si>
    <t>MARTINEZ</t>
  </si>
  <si>
    <t>ALONSO</t>
  </si>
  <si>
    <t>alejandrom@dominio1.es</t>
  </si>
  <si>
    <t>fernando</t>
  </si>
  <si>
    <t>pérez</t>
  </si>
  <si>
    <t>lópez</t>
  </si>
  <si>
    <t>fernandoperez@dominio1.es</t>
  </si>
  <si>
    <t>Sandra</t>
  </si>
  <si>
    <t>COBO</t>
  </si>
  <si>
    <t>smartinez@telefonica.com</t>
  </si>
  <si>
    <t>Cristina</t>
  </si>
  <si>
    <t>sánchez</t>
  </si>
  <si>
    <t>Morán</t>
  </si>
  <si>
    <t>sanchezcristina@lanetro.com</t>
  </si>
  <si>
    <t>bernardo</t>
  </si>
  <si>
    <t>alfonso</t>
  </si>
  <si>
    <t>garcía</t>
  </si>
  <si>
    <t>balfonsogarcia@dominio1.es</t>
  </si>
  <si>
    <t>CONCATENAR FUNCIONES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</si>
</sst>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2" zoomScaleNormal="100" workbookViewId="0">
      <selection activeCell="E27" sqref="E27"/>
    </sheetView>
  </sheetViews>
  <sheetFormatPr baseColWidth="10" defaultColWidth="11.46484375" defaultRowHeight="14.25" x14ac:dyDescent="0.45"/>
  <cols>
    <col min="1" max="1" width="29.33203125" bestFit="1" customWidth="1"/>
    <col min="4" max="4" width="53.33203125" bestFit="1" customWidth="1"/>
    <col min="5" max="5" width="34.796875" bestFit="1" customWidth="1"/>
    <col min="6" max="6" width="42.6640625" bestFit="1" customWidth="1"/>
    <col min="7" max="7" width="21.06640625" bestFit="1" customWidth="1"/>
  </cols>
  <sheetData>
    <row r="1" spans="1:8" x14ac:dyDescent="0.45">
      <c r="A1" s="1" t="s">
        <v>0</v>
      </c>
      <c r="B1" t="s">
        <v>6</v>
      </c>
      <c r="C1" t="s">
        <v>7</v>
      </c>
      <c r="D1" t="s">
        <v>8</v>
      </c>
      <c r="E1" t="s">
        <v>0</v>
      </c>
      <c r="F1" t="s">
        <v>9</v>
      </c>
      <c r="G1" t="s">
        <v>10</v>
      </c>
    </row>
    <row r="2" spans="1:8" x14ac:dyDescent="0.45">
      <c r="A2" t="s">
        <v>1</v>
      </c>
      <c r="B2">
        <f>FIND(" ",A2)</f>
        <v>10</v>
      </c>
      <c r="C2">
        <f>FIND(" ",A2,B2+1)</f>
        <v>19</v>
      </c>
      <c r="D2">
        <f>LEN(A2)</f>
        <v>25</v>
      </c>
      <c r="E2" t="str">
        <f>LEFT(A2,B2-1)</f>
        <v>ALEJANDRO</v>
      </c>
      <c r="F2" t="str">
        <f>MID(A2,B2+1,C2-B2-1)</f>
        <v>MARTINEZ</v>
      </c>
      <c r="G2" t="str">
        <f>RIGHT(A2,D2-C2)</f>
        <v>ALONSO</v>
      </c>
    </row>
    <row r="3" spans="1:8" x14ac:dyDescent="0.45">
      <c r="A3" t="s">
        <v>2</v>
      </c>
      <c r="B3">
        <f t="shared" ref="B3:B6" si="0">FIND(" ",A3)</f>
        <v>9</v>
      </c>
      <c r="C3">
        <f t="shared" ref="C3:C6" si="1">FIND(" ",A3,B3+1)</f>
        <v>15</v>
      </c>
      <c r="D3">
        <f t="shared" ref="D3:D6" si="2">LEN(A3)</f>
        <v>20</v>
      </c>
      <c r="E3" t="str">
        <f t="shared" ref="E3:E6" si="3">LEFT(A3,B3-1)</f>
        <v>fernando</v>
      </c>
      <c r="F3" t="str">
        <f t="shared" ref="F3:F6" si="4">MID(A3,B3+1,C3-B3-1)</f>
        <v>pérez</v>
      </c>
      <c r="G3" t="str">
        <f t="shared" ref="G3:G6" si="5">RIGHT(A3,D3-C3)</f>
        <v>lópez</v>
      </c>
    </row>
    <row r="4" spans="1:8" x14ac:dyDescent="0.45">
      <c r="A4" t="s">
        <v>3</v>
      </c>
      <c r="B4">
        <f t="shared" si="0"/>
        <v>7</v>
      </c>
      <c r="C4">
        <f t="shared" si="1"/>
        <v>16</v>
      </c>
      <c r="D4">
        <f t="shared" si="2"/>
        <v>20</v>
      </c>
      <c r="E4" t="str">
        <f t="shared" si="3"/>
        <v>Sandra</v>
      </c>
      <c r="F4" t="str">
        <f t="shared" si="4"/>
        <v>MARTINEZ</v>
      </c>
      <c r="G4" t="str">
        <f t="shared" si="5"/>
        <v>COBO</v>
      </c>
    </row>
    <row r="5" spans="1:8" x14ac:dyDescent="0.45">
      <c r="A5" t="s">
        <v>4</v>
      </c>
      <c r="B5">
        <f t="shared" si="0"/>
        <v>9</v>
      </c>
      <c r="C5">
        <f t="shared" si="1"/>
        <v>17</v>
      </c>
      <c r="D5">
        <f t="shared" si="2"/>
        <v>22</v>
      </c>
      <c r="E5" t="str">
        <f t="shared" si="3"/>
        <v>Cristina</v>
      </c>
      <c r="F5" t="str">
        <f t="shared" si="4"/>
        <v>sánchez</v>
      </c>
      <c r="G5" t="str">
        <f t="shared" si="5"/>
        <v>Morán</v>
      </c>
    </row>
    <row r="6" spans="1:8" x14ac:dyDescent="0.45">
      <c r="A6" t="s">
        <v>5</v>
      </c>
      <c r="B6">
        <f t="shared" si="0"/>
        <v>9</v>
      </c>
      <c r="C6">
        <f t="shared" si="1"/>
        <v>17</v>
      </c>
      <c r="D6">
        <f t="shared" si="2"/>
        <v>23</v>
      </c>
      <c r="E6" t="str">
        <f t="shared" si="3"/>
        <v>bernardo</v>
      </c>
      <c r="F6" t="str">
        <f t="shared" si="4"/>
        <v>alfonso</v>
      </c>
      <c r="G6" t="str">
        <f t="shared" si="5"/>
        <v>garcía</v>
      </c>
    </row>
    <row r="7" spans="1:8" x14ac:dyDescent="0.45">
      <c r="E7" t="str">
        <f ca="1">_xlfn.FORMULATEXT(E2)</f>
        <v>=IZQUIERDA(A2,B2-1)</v>
      </c>
      <c r="F7" t="str">
        <f t="shared" ref="F7:G7" ca="1" si="6">_xlfn.FORMULATEXT(F2)</f>
        <v>=EXTRAE(A2,B2+1,C2-B2-1)</v>
      </c>
      <c r="G7" t="str">
        <f t="shared" ca="1" si="6"/>
        <v>=DERECHA(A2,D2-C2)</v>
      </c>
    </row>
    <row r="9" spans="1:8" ht="18" x14ac:dyDescent="0.55000000000000004">
      <c r="A9" s="2" t="s">
        <v>24</v>
      </c>
    </row>
    <row r="10" spans="1:8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25</v>
      </c>
    </row>
    <row r="11" spans="1:8" x14ac:dyDescent="0.45">
      <c r="A11" t="s">
        <v>18</v>
      </c>
      <c r="B11">
        <f>FIND("-",A11)</f>
        <v>11</v>
      </c>
      <c r="C11">
        <f>FIND("-",A11,B11+1)</f>
        <v>16</v>
      </c>
      <c r="D11">
        <f>LEN(A11)</f>
        <v>17</v>
      </c>
      <c r="E11" t="str">
        <f>LEFT(A11,B11-1)</f>
        <v>PLACA BASE</v>
      </c>
      <c r="F11" t="str">
        <f>MID(A11,B11+1,C11-B11-1)</f>
        <v>XATI</v>
      </c>
      <c r="G11" t="str">
        <f>RIGHT(A11,D11-C11)</f>
        <v>3</v>
      </c>
      <c r="H11">
        <f>VALUE(G11)</f>
        <v>3</v>
      </c>
    </row>
    <row r="12" spans="1:8" x14ac:dyDescent="0.45">
      <c r="A12" t="s">
        <v>19</v>
      </c>
      <c r="B12">
        <f t="shared" ref="B12:B16" si="7">FIND("-",A12)</f>
        <v>11</v>
      </c>
      <c r="C12">
        <f t="shared" ref="C12:C16" si="8">FIND("-",A12,B12+1)</f>
        <v>15</v>
      </c>
      <c r="D12">
        <f t="shared" ref="D12:D16" si="9">LEN(A12)</f>
        <v>16</v>
      </c>
      <c r="E12" t="str">
        <f t="shared" ref="E12:E16" si="10">LEFT(A12,B12-1)</f>
        <v>PLACA BASE</v>
      </c>
      <c r="F12" t="str">
        <f t="shared" ref="F12:F16" si="11">MID(A12,B12+1,C12-B12-1)</f>
        <v>XTA</v>
      </c>
      <c r="G12" t="str">
        <f t="shared" ref="G12:G16" si="12">RIGHT(A12,D12-C12)</f>
        <v>2</v>
      </c>
      <c r="H12">
        <f t="shared" ref="H12:H16" si="13">VALUE(G12)</f>
        <v>2</v>
      </c>
    </row>
    <row r="13" spans="1:8" x14ac:dyDescent="0.45">
      <c r="A13" t="s">
        <v>20</v>
      </c>
      <c r="B13">
        <f t="shared" si="7"/>
        <v>6</v>
      </c>
      <c r="C13">
        <f t="shared" si="8"/>
        <v>9</v>
      </c>
      <c r="D13">
        <f t="shared" si="9"/>
        <v>11</v>
      </c>
      <c r="E13" t="str">
        <f t="shared" si="10"/>
        <v>DISCO</v>
      </c>
      <c r="F13" t="str">
        <f t="shared" si="11"/>
        <v>UD</v>
      </c>
      <c r="G13" t="str">
        <f t="shared" si="12"/>
        <v>16</v>
      </c>
      <c r="H13">
        <f t="shared" si="13"/>
        <v>16</v>
      </c>
    </row>
    <row r="14" spans="1:8" x14ac:dyDescent="0.45">
      <c r="A14" t="s">
        <v>21</v>
      </c>
      <c r="B14">
        <f t="shared" si="7"/>
        <v>6</v>
      </c>
      <c r="C14">
        <f t="shared" si="8"/>
        <v>10</v>
      </c>
      <c r="D14">
        <f t="shared" si="9"/>
        <v>12</v>
      </c>
      <c r="E14" t="str">
        <f t="shared" si="10"/>
        <v>DISCO</v>
      </c>
      <c r="F14" t="str">
        <f t="shared" si="11"/>
        <v>UMD</v>
      </c>
      <c r="G14" t="str">
        <f t="shared" si="12"/>
        <v>20</v>
      </c>
      <c r="H14">
        <f t="shared" si="13"/>
        <v>20</v>
      </c>
    </row>
    <row r="15" spans="1:8" x14ac:dyDescent="0.45">
      <c r="A15" t="s">
        <v>22</v>
      </c>
      <c r="B15">
        <f t="shared" si="7"/>
        <v>8</v>
      </c>
      <c r="C15">
        <f t="shared" si="8"/>
        <v>12</v>
      </c>
      <c r="D15">
        <f t="shared" si="9"/>
        <v>15</v>
      </c>
      <c r="E15" t="str">
        <f t="shared" si="10"/>
        <v>MEMORIA</v>
      </c>
      <c r="F15" t="str">
        <f t="shared" si="11"/>
        <v>RAM</v>
      </c>
      <c r="G15" t="str">
        <f t="shared" si="12"/>
        <v>128</v>
      </c>
      <c r="H15">
        <f t="shared" si="13"/>
        <v>128</v>
      </c>
    </row>
    <row r="16" spans="1:8" x14ac:dyDescent="0.45">
      <c r="A16" t="s">
        <v>23</v>
      </c>
      <c r="B16">
        <f t="shared" si="7"/>
        <v>8</v>
      </c>
      <c r="C16">
        <f t="shared" si="8"/>
        <v>12</v>
      </c>
      <c r="D16">
        <f t="shared" si="9"/>
        <v>15</v>
      </c>
      <c r="E16" t="str">
        <f t="shared" si="10"/>
        <v>MEMORIA</v>
      </c>
      <c r="F16" t="str">
        <f t="shared" si="11"/>
        <v>RAM</v>
      </c>
      <c r="G16" t="str">
        <f t="shared" si="12"/>
        <v>256</v>
      </c>
      <c r="H16">
        <f t="shared" si="13"/>
        <v>256</v>
      </c>
    </row>
    <row r="18" spans="1:7" x14ac:dyDescent="0.45">
      <c r="E18" t="str">
        <f ca="1">_xlfn.FORMULATEXT(E11)</f>
        <v>=IZQUIERDA(A11,B11-1)</v>
      </c>
      <c r="F18" t="str">
        <f t="shared" ref="F18:G18" ca="1" si="14">_xlfn.FORMULATEXT(F11)</f>
        <v>=EXTRAE(A11,B11+1,C11-B11-1)</v>
      </c>
      <c r="G18" t="str">
        <f t="shared" ca="1" si="14"/>
        <v>=DERECHA(A11,D11-C11)</v>
      </c>
    </row>
    <row r="20" spans="1:7" ht="15.75" x14ac:dyDescent="0.5">
      <c r="A20" s="3" t="s">
        <v>51</v>
      </c>
    </row>
    <row r="21" spans="1:7" x14ac:dyDescent="0.45">
      <c r="A21" t="s">
        <v>0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</row>
    <row r="22" spans="1:7" x14ac:dyDescent="0.45">
      <c r="A22" t="s">
        <v>32</v>
      </c>
      <c r="B22" t="s">
        <v>33</v>
      </c>
      <c r="C22" t="s">
        <v>34</v>
      </c>
      <c r="D22" t="str">
        <f>_xlfn.CONCAT(UPPER(B22)," ",UPPER(C22),"; ",PROPER(A22))</f>
        <v>MARTINEZ ALONSO; Alejandro</v>
      </c>
      <c r="E22" t="s">
        <v>35</v>
      </c>
      <c r="F22" t="str">
        <f>LEFT(E22,FIND("@",E22)-1)</f>
        <v>alejandrom</v>
      </c>
      <c r="G22" t="str">
        <f>RIGHT(E22,LEN(E22)-FIND("@",E22))</f>
        <v>dominio1.es</v>
      </c>
    </row>
    <row r="23" spans="1:7" x14ac:dyDescent="0.45">
      <c r="A23" t="s">
        <v>36</v>
      </c>
      <c r="B23" t="s">
        <v>37</v>
      </c>
      <c r="C23" t="s">
        <v>38</v>
      </c>
      <c r="D23" t="str">
        <f t="shared" ref="D23:D26" si="15">_xlfn.CONCAT(UPPER(B23)," ",UPPER(C23),"; ",PROPER(A23))</f>
        <v>PÉREZ LÓPEZ; Fernando</v>
      </c>
      <c r="E23" t="s">
        <v>39</v>
      </c>
      <c r="F23" t="str">
        <f t="shared" ref="F23:F26" si="16">LEFT(E23,FIND("@",E23)-1)</f>
        <v>fernandoperez</v>
      </c>
      <c r="G23" t="str">
        <f t="shared" ref="G23:G26" si="17">RIGHT(E23,LEN(E23)-FIND("@",E23))</f>
        <v>dominio1.es</v>
      </c>
    </row>
    <row r="24" spans="1:7" x14ac:dyDescent="0.45">
      <c r="A24" t="s">
        <v>40</v>
      </c>
      <c r="B24" t="s">
        <v>33</v>
      </c>
      <c r="C24" t="s">
        <v>41</v>
      </c>
      <c r="D24" t="str">
        <f t="shared" si="15"/>
        <v>MARTINEZ COBO; Sandra</v>
      </c>
      <c r="E24" t="s">
        <v>42</v>
      </c>
      <c r="F24" t="str">
        <f t="shared" si="16"/>
        <v>smartinez</v>
      </c>
      <c r="G24" t="str">
        <f t="shared" si="17"/>
        <v>telefonica.com</v>
      </c>
    </row>
    <row r="25" spans="1:7" x14ac:dyDescent="0.45">
      <c r="A25" t="s">
        <v>43</v>
      </c>
      <c r="B25" t="s">
        <v>44</v>
      </c>
      <c r="C25" t="s">
        <v>45</v>
      </c>
      <c r="D25" t="str">
        <f t="shared" si="15"/>
        <v>SÁNCHEZ MORÁN; Cristina</v>
      </c>
      <c r="E25" t="s">
        <v>46</v>
      </c>
      <c r="F25" t="str">
        <f t="shared" si="16"/>
        <v>sanchezcristina</v>
      </c>
      <c r="G25" t="str">
        <f t="shared" si="17"/>
        <v>lanetro.com</v>
      </c>
    </row>
    <row r="26" spans="1:7" x14ac:dyDescent="0.45">
      <c r="A26" t="s">
        <v>47</v>
      </c>
      <c r="B26" t="s">
        <v>48</v>
      </c>
      <c r="C26" t="s">
        <v>49</v>
      </c>
      <c r="D26" t="str">
        <f t="shared" si="15"/>
        <v>ALFONSO GARCÍA; Bernardo</v>
      </c>
      <c r="E26" t="s">
        <v>50</v>
      </c>
      <c r="F26" t="str">
        <f t="shared" si="16"/>
        <v>balfonsogarcia</v>
      </c>
      <c r="G26" t="str">
        <f t="shared" si="17"/>
        <v>dominio1.es</v>
      </c>
    </row>
    <row r="28" spans="1:7" x14ac:dyDescent="0.45">
      <c r="D28" t="str">
        <f ca="1">_xlfn.FORMULATEXT(D22)</f>
        <v>=CONCAT(MAYUSC(B22)," ",MAYUSC(C22),"; ",NOMPROPIO(A22))</v>
      </c>
      <c r="E28" t="str">
        <f ca="1">_xlfn.FORMULATEXT(F22)</f>
        <v>=IZQUIERDA(E22,ENCONTRAR("@",E22)-1)</v>
      </c>
      <c r="F28" t="str">
        <f t="shared" ref="F28:G28" ca="1" si="18">_xlfn.FORMULATEXT(G22)</f>
        <v>=DERECHA(E22,LARGO(E22)-ENCONTRAR("@",E22))</v>
      </c>
      <c r="G28" t="str">
        <f ca="1">_xlfn.FORMULATEXT(G22)</f>
        <v>=DERECHA(E22,LARGO(E22)-ENCONTRAR("@",E22))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648437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648437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Carolina Carrera</cp:lastModifiedBy>
  <cp:revision/>
  <dcterms:created xsi:type="dcterms:W3CDTF">2011-06-05T18:15:13Z</dcterms:created>
  <dcterms:modified xsi:type="dcterms:W3CDTF">2026-04-19T18:03:52Z</dcterms:modified>
  <cp:category/>
  <cp:contentStatus/>
</cp:coreProperties>
</file>