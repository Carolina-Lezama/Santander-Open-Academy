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58C829C3-2C4A-4005-985C-4F1E31F32B83}" xr6:coauthVersionLast="47" xr6:coauthVersionMax="47" xr10:uidLastSave="{00000000-0000-0000-0000-000000000000}"/>
  <bookViews>
    <workbookView xWindow="-98" yWindow="-98" windowWidth="21795" windowHeight="12975" activeTab="1" xr2:uid="{89E999AA-6E4B-4B8D-BDAC-782C14CC87BB}"/>
  </bookViews>
  <sheets>
    <sheet name="FACTURAS" sheetId="1" r:id="rId1"/>
    <sheet name="FUNCIONES CONJUNT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5" i="2"/>
  <c r="C6" i="2"/>
  <c r="C7" i="2"/>
  <c r="C8" i="2"/>
  <c r="C9" i="2"/>
  <c r="C10" i="2"/>
  <c r="C11" i="2"/>
  <c r="C12" i="2"/>
  <c r="C13" i="2"/>
  <c r="C4" i="2"/>
  <c r="B5" i="2"/>
  <c r="B6" i="2"/>
  <c r="B7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<sst xmlns="http://schemas.openxmlformats.org/spreadsheetml/2006/main" count="3132" uniqueCount="31">
  <si>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</si>
  <si>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</si>
  <si>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</si>
  <si>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</si>
  <si>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</si>
  <si>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</si>
  <si>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</si>
  <si>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</si>
  <si>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</si>
  <si>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</si>
  <si>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</si>
  <si>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</si>
  <si>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</si>
  <si>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</si>
  <si>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</si>
  <si>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</si>
  <si>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</si>
  <si>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</si>
  <si>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</si>
  <si>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</si>
  <si>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</si>
  <si>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</si>
  <si>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</si>
  <si>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</si>
  <si>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</si>
  <si>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</si>
  <si>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</si>
  <si>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</si>
  <si>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CLIENTES</t>
  </si>
  <si>
    <t>CONTAR.SI.CONJUNTO</t>
  </si>
  <si>
    <t>SUMAR.SI.CONJUNTO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</si>
</sst>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C10" sqref="C10"/>
    </sheetView>
  </sheetViews>
  <sheetFormatPr baseColWidth="10" defaultColWidth="11.46484375" defaultRowHeight="12.75" x14ac:dyDescent="0.35"/>
  <cols>
    <col min="1" max="1" width="22.86328125" bestFit="1" customWidth="1"/>
    <col min="2" max="2" width="14.6640625" bestFit="1" customWidth="1"/>
    <col min="3" max="3" width="13.86328125" bestFit="1" customWidth="1"/>
    <col min="4" max="4" width="13.6640625" customWidth="1"/>
    <col min="5" max="5" width="19.46484375" customWidth="1"/>
    <col min="6" max="6" width="21" bestFit="1" customWidth="1"/>
    <col min="7" max="7" width="13.1328125" bestFit="1" customWidth="1"/>
    <col min="8" max="8" width="3.19921875" customWidth="1"/>
  </cols>
  <sheetData>
    <row r="1" spans="1:7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3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3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3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3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3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3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3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3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3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3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3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3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3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3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3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3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3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3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3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3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3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3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3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3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3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3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3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3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3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3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3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3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3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3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3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3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3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3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3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3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3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3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3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3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3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3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3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3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3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3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3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3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3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3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3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3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3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3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3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3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3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3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3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3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3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3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3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3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3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3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3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3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3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3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3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3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3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3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3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3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3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3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3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3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3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3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3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3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3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3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3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3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3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3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3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3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3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3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3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3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3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3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3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3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3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3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3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3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3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3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3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3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3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3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3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3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3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3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3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3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3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3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3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3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3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3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3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3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3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3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3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3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3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3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3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3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3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3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3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3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3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3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3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3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3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3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3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3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3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3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3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3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3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3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3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3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3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3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3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3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3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3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3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3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3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3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3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3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3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3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3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3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3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3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3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3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3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3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3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3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3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3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3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3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3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3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3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3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3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3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3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3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3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3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3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3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3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3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3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3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3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3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3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3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3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3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3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3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3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3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3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3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3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3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3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3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3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3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3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3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3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3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3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3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3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3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3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3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3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3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3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3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3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3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3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3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3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3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3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3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3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3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3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3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3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3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3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3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3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3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3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3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3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3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3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3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3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3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3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3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3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3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3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3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3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3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3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3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3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3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3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3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3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3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3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3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3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3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3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3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3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3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3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3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3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3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3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3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3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3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3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3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3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3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3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3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3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3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3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3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3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3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3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3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3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3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3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3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3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3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3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3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3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3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3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3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3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3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3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3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3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3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3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3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3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3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3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3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3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3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3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3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3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3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3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3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3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3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3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3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3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3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3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3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3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3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3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3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3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3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3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3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3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3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3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3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3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3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3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3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3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3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3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3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3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3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3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3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3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3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3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3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3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3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3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3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3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3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3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3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3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3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3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3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3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3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3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3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3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3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3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3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3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3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3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3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3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3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3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3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3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3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3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3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3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3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3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3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3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3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3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3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3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3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3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3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3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3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3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3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3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3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3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3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3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3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3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3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3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3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3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3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3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3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3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3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3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3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3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3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3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3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3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3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3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3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3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3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3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3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3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3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3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3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3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3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3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3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3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3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3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3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3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3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3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3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3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3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3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3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3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3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3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3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3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3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3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3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3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3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3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3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3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3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3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3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3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3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3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3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3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3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3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3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3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3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3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3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3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3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3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3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3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3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3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3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3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3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3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3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3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3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3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3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3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3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3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3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3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3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3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3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3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3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3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3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3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3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3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3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3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3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3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3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3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3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3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3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3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3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3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3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3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3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3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3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3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3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3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3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3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3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3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3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3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3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3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3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3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3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3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3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3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3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3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3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3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3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3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3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3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3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3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3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3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3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3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3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3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3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3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3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3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3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3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3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3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3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3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3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3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3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3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3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3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3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3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3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3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3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3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3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3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3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3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3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3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3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3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3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3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3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3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3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3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3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3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3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3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3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3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3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3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3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3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3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3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3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3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3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3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3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3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3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3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3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3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3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3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3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3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3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3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3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3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3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3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3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3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3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3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3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3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3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3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3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3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3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3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3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3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3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3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3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3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3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3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3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3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3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3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3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3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3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3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3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3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3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3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3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3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3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3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3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3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3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3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3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3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3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3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3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3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3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3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3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3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3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3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3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3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3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3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3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3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3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3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3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3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3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3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3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3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3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3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3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3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3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3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3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3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3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3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3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3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3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3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3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3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3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3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3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3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3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3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3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3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3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3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3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3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3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3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3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3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3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3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3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3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3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3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3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3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3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3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3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3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3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3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3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3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3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3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3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3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3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3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3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3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3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3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3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3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3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3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3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3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8252-B8AC-48A0-9CFA-18D044327A11}">
  <dimension ref="A3:C13"/>
  <sheetViews>
    <sheetView tabSelected="1" zoomScale="262" zoomScaleNormal="262" workbookViewId="0">
      <selection activeCell="C4" sqref="C4"/>
    </sheetView>
  </sheetViews>
  <sheetFormatPr baseColWidth="10" defaultRowHeight="12.75" x14ac:dyDescent="0.35"/>
  <cols>
    <col min="1" max="1" width="13.19921875" bestFit="1" customWidth="1"/>
    <col min="2" max="2" width="21" bestFit="1" customWidth="1"/>
    <col min="3" max="3" width="20" bestFit="1" customWidth="1"/>
  </cols>
  <sheetData>
    <row r="3" spans="1:3" x14ac:dyDescent="0.35">
      <c r="A3" t="s">
        <v>28</v>
      </c>
      <c r="B3" t="s">
        <v>29</v>
      </c>
      <c r="C3" t="s">
        <v>30</v>
      </c>
    </row>
    <row r="4" spans="1:3" x14ac:dyDescent="0.35">
      <c r="A4" t="s">
        <v>25</v>
      </c>
      <c r="B4">
        <f>COUNTIFS(T_FACTURAS[CLIENTE],A4,T_FACTURAS[IMPORTE], "&gt;1000")</f>
        <v>35</v>
      </c>
      <c r="C4">
        <f>SUMIFS(T_FACTURAS[IMPORTE],T_FACTURAS[CONCEPTO],"Desarrollo",T_FACTURAS[CLIENTE],A4)</f>
        <v>21950</v>
      </c>
    </row>
    <row r="5" spans="1:3" x14ac:dyDescent="0.35">
      <c r="A5" t="s">
        <v>27</v>
      </c>
      <c r="B5">
        <f>COUNTIFS(T_FACTURAS[CLIENTE],A5,T_FACTURAS[IMPORTE], "&gt;1000")</f>
        <v>13</v>
      </c>
      <c r="C5">
        <f>SUMIFS(T_FACTURAS[IMPORTE],T_FACTURAS[CONCEPTO],"Desarrollo",T_FACTURAS[CLIENTE],A5)</f>
        <v>12500</v>
      </c>
    </row>
    <row r="6" spans="1:3" x14ac:dyDescent="0.35">
      <c r="A6" t="s">
        <v>19</v>
      </c>
      <c r="B6">
        <f>COUNTIFS(T_FACTURAS[CLIENTE],A6,T_FACTURAS[IMPORTE], "&gt;1000")</f>
        <v>9</v>
      </c>
      <c r="C6">
        <f>SUMIFS(T_FACTURAS[IMPORTE],T_FACTURAS[CONCEPTO],"Desarrollo",T_FACTURAS[CLIENTE],A6)</f>
        <v>3200</v>
      </c>
    </row>
    <row r="7" spans="1:3" x14ac:dyDescent="0.35">
      <c r="A7" t="s">
        <v>8</v>
      </c>
      <c r="B7">
        <f>COUNTIFS(T_FACTURAS[CLIENTE],A7,T_FACTURAS[IMPORTE], "&gt;1000")</f>
        <v>16</v>
      </c>
      <c r="C7">
        <f>SUMIFS(T_FACTURAS[IMPORTE],T_FACTURAS[CONCEPTO],"Desarrollo",T_FACTURAS[CLIENTE],A7)</f>
        <v>15020</v>
      </c>
    </row>
    <row r="8" spans="1:3" x14ac:dyDescent="0.35">
      <c r="A8" t="s">
        <v>12</v>
      </c>
      <c r="B8">
        <f>COUNTIFS(T_FACTURAS[CLIENTE],A8,T_FACTURAS[IMPORTE], "&gt;1000")</f>
        <v>27</v>
      </c>
      <c r="C8">
        <f>SUMIFS(T_FACTURAS[IMPORTE],T_FACTURAS[CONCEPTO],"Desarrollo",T_FACTURAS[CLIENTE],A8)</f>
        <v>43270</v>
      </c>
    </row>
    <row r="9" spans="1:3" x14ac:dyDescent="0.35">
      <c r="A9" t="s">
        <v>15</v>
      </c>
      <c r="B9">
        <f>COUNTIFS(T_FACTURAS[CLIENTE],A9,T_FACTURAS[IMPORTE], "&gt;1000")</f>
        <v>18</v>
      </c>
      <c r="C9">
        <f>SUMIFS(T_FACTURAS[IMPORTE],T_FACTURAS[CONCEPTO],"Desarrollo",T_FACTURAS[CLIENTE],A9)</f>
        <v>8580</v>
      </c>
    </row>
    <row r="10" spans="1:3" x14ac:dyDescent="0.35">
      <c r="A10" t="s">
        <v>17</v>
      </c>
      <c r="B10">
        <f>COUNTIFS(T_FACTURAS[CLIENTE],A10,T_FACTURAS[IMPORTE], "&gt;1000")</f>
        <v>22</v>
      </c>
      <c r="C10">
        <f>SUMIFS(T_FACTURAS[IMPORTE],T_FACTURAS[CONCEPTO],"Desarrollo",T_FACTURAS[CLIENTE],A10)</f>
        <v>28850</v>
      </c>
    </row>
    <row r="11" spans="1:3" x14ac:dyDescent="0.35">
      <c r="A11" t="s">
        <v>21</v>
      </c>
      <c r="B11">
        <f>COUNTIFS(T_FACTURAS[CLIENTE],A11,T_FACTURAS[IMPORTE], "&gt;1000")</f>
        <v>22</v>
      </c>
      <c r="C11">
        <f>SUMIFS(T_FACTURAS[IMPORTE],T_FACTURAS[CONCEPTO],"Desarrollo",T_FACTURAS[CLIENTE],A11)</f>
        <v>13700</v>
      </c>
    </row>
    <row r="12" spans="1:3" x14ac:dyDescent="0.35">
      <c r="A12" t="s">
        <v>23</v>
      </c>
      <c r="B12">
        <f>COUNTIFS(T_FACTURAS[CLIENTE],A12,T_FACTURAS[IMPORTE], "&gt;1000")</f>
        <v>27</v>
      </c>
      <c r="C12">
        <f>SUMIFS(T_FACTURAS[IMPORTE],T_FACTURAS[CONCEPTO],"Desarrollo",T_FACTURAS[CLIENTE],A12)</f>
        <v>13940</v>
      </c>
    </row>
    <row r="13" spans="1:3" x14ac:dyDescent="0.35">
      <c r="A13" t="s">
        <v>24</v>
      </c>
      <c r="B13">
        <f>COUNTIFS(T_FACTURAS[CLIENTE],A13,T_FACTURAS[IMPORTE], "&gt;1000")</f>
        <v>39</v>
      </c>
      <c r="C13">
        <f>SUMIFS(T_FACTURAS[IMPORTE],T_FACTURAS[CONCEPTO],"Desarrollo",T_FACTURAS[CLIENTE],A13)</f>
        <v>67100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FUNCIONES CONJUNTO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Carolina Carrera</cp:lastModifiedBy>
  <dcterms:created xsi:type="dcterms:W3CDTF">2025-03-16T16:12:42Z</dcterms:created>
  <dcterms:modified xsi:type="dcterms:W3CDTF">2026-04-23T15:45:31Z</dcterms:modified>
</cp:coreProperties>
</file>